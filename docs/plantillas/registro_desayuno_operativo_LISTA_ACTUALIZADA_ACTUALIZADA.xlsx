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Precios" sheetId="4" state="visible" r:id="rId4"/>
    <sheet xmlns:r="http://schemas.openxmlformats.org/officeDocument/2006/relationships" name="ConfigBuffet" sheetId="5" state="visible" r:id="rId5"/>
    <sheet xmlns:r="http://schemas.openxmlformats.org/officeDocument/2006/relationships" name="ConsumoBuffet" sheetId="6" state="visible" r:id="rId6"/>
    <sheet xmlns:r="http://schemas.openxmlformats.org/officeDocument/2006/relationships" name="RegistroComida" sheetId="7" state="visible" r:id="rId7"/>
    <sheet xmlns:r="http://schemas.openxmlformats.org/officeDocument/2006/relationships" name="RegistroCena" sheetId="8" state="visible" r:id="rId8"/>
    <sheet xmlns:r="http://schemas.openxmlformats.org/officeDocument/2006/relationships" name="RegistroBebidasDesayuno" sheetId="9" state="visible" r:id="rId9"/>
  </sheets>
  <definedNames>
    <definedName name="_xlnm._FilterDatabase" localSheetId="1" hidden="1">'Registro'!$A$1:$Q$1</definedName>
    <definedName name="_xlnm._FilterDatabase" localSheetId="6" hidden="1">'RegistroComida'!$A$1:$F$1</definedName>
    <definedName name="_xlnm._FilterDatabase" localSheetId="7" hidden="1">'RegistroCena'!$A$1:$F$1</definedName>
    <definedName name="_xlnm._FilterDatabase" localSheetId="8" hidden="1">'RegistroBebidasDesayuno'!$A$1:$F$1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i val="1"/>
      <color rgb="00666666"/>
      <sz val="10"/>
    </font>
    <font>
      <b val="1"/>
      <color rgb="00FFFFFF"/>
      <sz val="11"/>
    </font>
    <font>
      <b val="1"/>
    </font>
    <font>
      <i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Registro operativo de desayuno (BM)</t>
        </is>
      </c>
    </row>
    <row r="2">
      <c r="A2" t="inlineStr"/>
    </row>
    <row r="3">
      <c r="A3" s="2" t="inlineStr">
        <is>
          <t>CÓMO USAR</t>
        </is>
      </c>
    </row>
    <row r="4">
      <c r="A4" t="inlineStr">
        <is>
          <t>1. Vaya a la hoja Registro.</t>
        </is>
      </c>
    </row>
    <row r="5">
      <c r="A5" t="inlineStr">
        <is>
          <t>2. En cada línea ponga la Fecha (AAAA-MM-DD). Misma fecha = UN solo desayuno en BM.</t>
        </is>
      </c>
    </row>
    <row r="6">
      <c r="A6" t="inlineStr">
        <is>
          <t>3. Huéspedes (por línea, se SUMAN en el día):</t>
        </is>
      </c>
    </row>
    <row r="7">
      <c r="A7" t="inlineStr">
        <is>
          <t xml:space="preserve">   • 1 = nuevo comensal (cuenta 1 persona).</t>
        </is>
      </c>
    </row>
    <row r="8">
      <c r="A8" t="inlineStr">
        <is>
          <t xml:space="preserve">   • 0 = mismo comensal que pide otro plato (NO suma persona).</t>
        </is>
      </c>
    </row>
    <row r="9">
      <c r="A9" t="inlineStr">
        <is>
          <t xml:space="preserve">   • Vacío = igual que 0 (no suma).</t>
        </is>
      </c>
    </row>
    <row r="10">
      <c r="A10" t="inlineStr">
        <is>
          <t xml:space="preserve">   Ejemplo: comensal pide inglés + café → fila inglés Huespedes=1, fila café=0.</t>
        </is>
      </c>
    </row>
    <row r="11">
      <c r="A11" t="inlineStr">
        <is>
          <t xml:space="preserve">   Total del día = suma de la columna (solo los 1).</t>
        </is>
      </c>
    </row>
    <row r="12">
      <c r="A12" t="inlineStr">
        <is>
          <t>4. Tipo: Receta (plato/bebida), Extra (buffet rápido) o Producto.</t>
        </is>
      </c>
    </row>
    <row r="13">
      <c r="A13" t="inlineStr">
        <is>
          <t>5. Nombre: elija del desplegable (lista en hoja Catalogo).</t>
        </is>
      </c>
    </row>
    <row r="14">
      <c r="A14" t="inlineStr">
        <is>
          <t>6. Cantidad ↑↓: raciones o unidades de ESA línea (1–30).</t>
        </is>
      </c>
    </row>
    <row r="15">
      <c r="A15" t="inlineStr">
        <is>
          <t>7. Extra1…Extra4: extras sobre una Receta (bacon, aguacate, huevo, pan…).</t>
        </is>
      </c>
    </row>
    <row r="16">
      <c r="A16" t="inlineStr">
        <is>
          <t>8. Omitir1/Omitir2: quitar un ingrediente (Bacon, Sin huevo, Sin tostada…).</t>
        </is>
      </c>
    </row>
    <row r="17">
      <c r="A17" t="inlineStr"/>
    </row>
    <row r="18">
      <c r="A18" s="2" t="inlineStr">
        <is>
          <t>IMPORTANTE</t>
        </is>
      </c>
    </row>
    <row r="19">
      <c r="A19" t="inlineStr">
        <is>
          <t>• No ponga 1 en todas las filas: si lo hace, contará 1 huésped por plato.</t>
        </is>
      </c>
    </row>
    <row r="20">
      <c r="A20" t="inlineStr">
        <is>
          <t>• Cantidad es raciones del plato, no el número de huéspedes.</t>
        </is>
      </c>
    </row>
    <row r="21">
      <c r="A21" t="inlineStr">
        <is>
          <t>• Tras importar, puede borrar las filas del Excel; en BM ya queda el registro.</t>
        </is>
      </c>
    </row>
    <row r="22">
      <c r="A22" t="inlineStr"/>
    </row>
    <row r="23">
      <c r="A23" s="2" t="inlineStr">
        <is>
          <t>HUEVOS (Desayuno inglés)</t>
        </is>
      </c>
    </row>
    <row r="24">
      <c r="A24" t="inlineStr">
        <is>
          <t>• La ficha «Desayuno ingles» incluye Huevo frito por defecto.</t>
        </is>
      </c>
    </row>
    <row r="25">
      <c r="A25" t="inlineStr">
        <is>
          <t>• Para otro tipo: Extra1 = Huevo pochado / Huevos revueltos / Huevo cocido</t>
        </is>
      </c>
    </row>
    <row r="26">
      <c r="A26" t="inlineStr">
        <is>
          <t xml:space="preserve">  (sustituye al frito; no sume un segundo huevo).</t>
        </is>
      </c>
    </row>
    <row r="27">
      <c r="A27" t="inlineStr">
        <is>
          <t>• Para sin huevo: Omitir1 = Sin huevo (o Huevo frito).</t>
        </is>
      </c>
    </row>
    <row r="28">
      <c r="A28" t="inlineStr">
        <is>
          <t>• Huevo suelto: Tipo=Receta y Nombre=Huevo frito / pochado / …</t>
        </is>
      </c>
    </row>
    <row r="29">
      <c r="A29" t="inlineStr"/>
    </row>
    <row r="30">
      <c r="A30" s="2" t="inlineStr">
        <is>
          <t>PAN (tostadas / sándwiches)</t>
        </is>
      </c>
    </row>
    <row r="31">
      <c r="A31" t="inlineStr">
        <is>
          <t>• Por defecto: molde común (blanco) = Tostada / Pan blanco.</t>
        </is>
      </c>
    </row>
    <row r="32">
      <c r="A32" t="inlineStr">
        <is>
          <t>• Integral: Extra1 = Tostada integral (o Pan integral).</t>
        </is>
      </c>
    </row>
    <row r="33">
      <c r="A33" t="inlineStr">
        <is>
          <t>• Sin gluten: Extra1 = Tostada sin gluten (o Pan sin gluten).</t>
        </is>
      </c>
    </row>
    <row r="34">
      <c r="A34" t="inlineStr">
        <is>
          <t>• Sin pan: Omitir1 = Sin tostada.</t>
        </is>
      </c>
    </row>
    <row r="35">
      <c r="A35" t="inlineStr"/>
    </row>
    <row r="36">
      <c r="A36" t="inlineStr">
        <is>
          <t>9. Guarde y ejecute 2_importar_a_bm.cmd (mejor --dry-run antes).</t>
        </is>
      </c>
    </row>
    <row r="37">
      <c r="A37" t="inlineStr">
        <is>
          <t>10. La columna Importado la rellena el script (no la edite).</t>
        </is>
      </c>
    </row>
    <row r="38">
      <c r="A38" t="inlineStr"/>
    </row>
    <row r="39">
      <c r="A39" t="inlineStr">
        <is>
          <t>COMIDA / CENA (hojas RegistroComida, RegistroCena)</t>
        </is>
      </c>
    </row>
    <row r="40">
      <c r="A40" s="3" t="inlineStr">
        <is>
          <t>Catalogo generado desde: C:\Users\User\AppData\Local\BM-V2-local\data\datos_hotel.json</t>
        </is>
      </c>
    </row>
    <row r="41">
      <c r="A41" s="3" t="inlineStr">
        <is>
          <t>Recetas desayuno: 40 | Extras: 56</t>
        </is>
      </c>
    </row>
    <row r="42">
      <c r="A42" t="inlineStr"/>
    </row>
    <row r="43">
      <c r="A43" t="inlineStr">
        <is>
          <t>BEBIDAS DESAYUNO (hoja RegistroBebidasDesayuno)</t>
        </is>
      </c>
    </row>
    <row r="44">
      <c r="A44" t="inlineStr">
        <is>
          <t>• Cafés, tés, Cola Cao, Cava Roger de Flor, etc. (catálogo columna I).</t>
        </is>
      </c>
    </row>
    <row r="45">
      <c r="A45" t="inlineStr">
        <is>
          <t>• Misma Fecha = un registro de bebidas en BM.</t>
        </is>
      </c>
    </row>
    <row r="46">
      <c r="A46" t="inlineStr">
        <is>
          <t>• Tipo: Receta (café, cava…) o Producto (botella suelta). Cantidad: raciones/unidades.</t>
        </is>
      </c>
    </row>
    <row r="47">
      <c r="A47" t="inlineStr"/>
    </row>
    <row r="48">
      <c r="A48" s="4" t="inlineStr">
        <is>
          <t>Registro preservado: 30 fila(s).</t>
        </is>
      </c>
    </row>
    <row r="49">
      <c r="A49" s="3" t="inlineStr">
        <is>
          <t>Comida: 0 | Cena: 0 | Bebidas: 0 | Buffet: 230 fila(s) preservadas.</t>
        </is>
      </c>
    </row>
    <row r="50">
      <c r="A50" t="inlineStr">
        <is>
          <t>• Jarra zumo naranja: rellene Naranjas (b06) y ZumoBote (b28) si aplica.</t>
        </is>
      </c>
    </row>
    <row r="51">
      <c r="A51" t="inlineStr">
        <is>
          <t>• Columna Coste usa Precios × cantidades (referencia; el import recalcula en BM).</t>
        </is>
      </c>
    </row>
    <row r="52">
      <c r="A52" t="inlineStr"/>
    </row>
    <row r="53">
      <c r="A53" t="inlineStr">
        <is>
          <t>Al regenerar la plantilla NO se borran filas ya rellenadas en hojas de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  <col width="12" customWidth="1" min="5" max="5"/>
    <col width="16" customWidth="1" min="6" max="6"/>
    <col width="9" customWidth="1" min="7" max="7"/>
    <col width="16" customWidth="1" min="8" max="8"/>
    <col width="9" customWidth="1" min="9" max="9"/>
    <col width="16" customWidth="1" min="10" max="10"/>
    <col width="9" customWidth="1" min="11" max="11"/>
    <col width="16" customWidth="1" min="12" max="12"/>
    <col width="9" customWidth="1" min="13" max="13"/>
    <col width="16" customWidth="1" min="14" max="14"/>
    <col width="16" customWidth="1" min="15" max="15"/>
    <col width="22" customWidth="1" min="16" max="16"/>
    <col width="12" customWidth="1" min="17" max="17"/>
  </cols>
  <sheetData>
    <row r="1" ht="32" customHeight="1">
      <c r="A1" s="5" t="inlineStr">
        <is>
          <t>Fecha</t>
        </is>
      </c>
      <c r="B1" s="5" t="inlineStr">
        <is>
          <t>Huespedes</t>
        </is>
      </c>
      <c r="C1" s="5" t="inlineStr">
        <is>
          <t>Tipo</t>
        </is>
      </c>
      <c r="D1" s="5" t="inlineStr">
        <is>
          <t>Nombre</t>
        </is>
      </c>
      <c r="E1" s="5" t="inlineStr">
        <is>
          <t>Cantidad ↑↓</t>
        </is>
      </c>
      <c r="F1" s="5" t="inlineStr">
        <is>
          <t>Extra1</t>
        </is>
      </c>
      <c r="G1" s="5" t="inlineStr">
        <is>
          <t>Cant1 ↑↓</t>
        </is>
      </c>
      <c r="H1" s="5" t="inlineStr">
        <is>
          <t>Extra2</t>
        </is>
      </c>
      <c r="I1" s="5" t="inlineStr">
        <is>
          <t>Cant2 ↑↓</t>
        </is>
      </c>
      <c r="J1" s="5" t="inlineStr">
        <is>
          <t>Extra3</t>
        </is>
      </c>
      <c r="K1" s="5" t="inlineStr">
        <is>
          <t>Cant3 ↑↓</t>
        </is>
      </c>
      <c r="L1" s="5" t="inlineStr">
        <is>
          <t>Extra4</t>
        </is>
      </c>
      <c r="M1" s="5" t="inlineStr">
        <is>
          <t>Cant4 ↑↓</t>
        </is>
      </c>
      <c r="N1" s="5" t="inlineStr">
        <is>
          <t>Omitir1</t>
        </is>
      </c>
      <c r="O1" s="5" t="inlineStr">
        <is>
          <t>Omitir2</t>
        </is>
      </c>
      <c r="P1" s="5" t="inlineStr">
        <is>
          <t>Notas</t>
        </is>
      </c>
      <c r="Q1" s="5" t="inlineStr">
        <is>
          <t>Importado</t>
        </is>
      </c>
    </row>
    <row r="2">
      <c r="A2" s="6" t="n">
        <v>46254</v>
      </c>
      <c r="B2" s="7" t="n">
        <v>1</v>
      </c>
      <c r="C2" s="7" t="inlineStr">
        <is>
          <t>Receta</t>
        </is>
      </c>
      <c r="D2" s="7" t="inlineStr">
        <is>
          <t>Huevo frito</t>
        </is>
      </c>
      <c r="E2" s="7" t="n">
        <v>3</v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inlineStr">
        <is>
          <t>OK d181</t>
        </is>
      </c>
    </row>
    <row r="3">
      <c r="A3" s="6" t="n">
        <v>46254</v>
      </c>
      <c r="B3" s="7" t="n">
        <v>1</v>
      </c>
      <c r="C3" s="7" t="inlineStr">
        <is>
          <t>Receta</t>
        </is>
      </c>
      <c r="D3" s="7" t="inlineStr">
        <is>
          <t>Sandwich vegetal</t>
        </is>
      </c>
      <c r="E3" s="7" t="n">
        <v>1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inlineStr">
        <is>
          <t>OK d181</t>
        </is>
      </c>
    </row>
    <row r="4">
      <c r="A4" s="6" t="n">
        <v>46254</v>
      </c>
      <c r="B4" s="7" t="n">
        <v>1</v>
      </c>
      <c r="C4" s="7" t="inlineStr">
        <is>
          <t>Receta</t>
        </is>
      </c>
      <c r="D4" s="7" t="inlineStr">
        <is>
          <t>Huevos revueltos</t>
        </is>
      </c>
      <c r="E4" s="7" t="n">
        <v>1</v>
      </c>
      <c r="F4" s="7" t="inlineStr">
        <is>
          <t>Espinacas</t>
        </is>
      </c>
      <c r="G4" s="7" t="n">
        <v>1</v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inlineStr">
        <is>
          <t>OK d181</t>
        </is>
      </c>
    </row>
    <row r="5">
      <c r="A5" s="6" t="n">
        <v>46254</v>
      </c>
      <c r="B5" s="7" t="n">
        <v>1</v>
      </c>
      <c r="C5" s="7" t="inlineStr">
        <is>
          <t>Receta</t>
        </is>
      </c>
      <c r="D5" s="7" t="inlineStr">
        <is>
          <t>Sandwich de la casa</t>
        </is>
      </c>
      <c r="E5" s="7" t="n">
        <v>1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inlineStr">
        <is>
          <t>OK d181</t>
        </is>
      </c>
    </row>
    <row r="6">
      <c r="A6" s="6" t="n">
        <v>46254</v>
      </c>
      <c r="B6" s="7" t="n">
        <v>1</v>
      </c>
      <c r="C6" s="7" t="inlineStr">
        <is>
          <t>Receta</t>
        </is>
      </c>
      <c r="D6" s="7" t="inlineStr">
        <is>
          <t>Huevo pochado</t>
        </is>
      </c>
      <c r="E6" s="7" t="n">
        <v>1</v>
      </c>
      <c r="F6" s="7" t="inlineStr">
        <is>
          <t>Tostada</t>
        </is>
      </c>
      <c r="G6" s="7" t="n">
        <v>1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inlineStr">
        <is>
          <t>OK d181</t>
        </is>
      </c>
    </row>
    <row r="7">
      <c r="A7" s="6" t="n">
        <v>46254</v>
      </c>
      <c r="B7" s="7" t="n">
        <v>1</v>
      </c>
      <c r="C7" s="7" t="inlineStr">
        <is>
          <t>Receta</t>
        </is>
      </c>
      <c r="D7" s="7" t="inlineStr">
        <is>
          <t>Desayuno ingles</t>
        </is>
      </c>
      <c r="E7" s="7" t="n">
        <v>1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inlineStr">
        <is>
          <t>Champi</t>
        </is>
      </c>
      <c r="O7" s="7" t="inlineStr">
        <is>
          <t>Hashbrown</t>
        </is>
      </c>
      <c r="P7" s="7" t="n"/>
      <c r="Q7" s="7" t="inlineStr">
        <is>
          <t>OK d181</t>
        </is>
      </c>
    </row>
    <row r="8">
      <c r="A8" s="6" t="n">
        <v>46254</v>
      </c>
      <c r="B8" s="7" t="n">
        <v>1</v>
      </c>
      <c r="C8" s="7" t="inlineStr">
        <is>
          <t>Receta</t>
        </is>
      </c>
      <c r="D8" s="7" t="inlineStr">
        <is>
          <t>Desayuno ingles</t>
        </is>
      </c>
      <c r="E8" s="7" t="n">
        <v>1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inlineStr">
        <is>
          <t>OK d181</t>
        </is>
      </c>
    </row>
    <row r="9">
      <c r="A9" s="6" t="n">
        <v>46254</v>
      </c>
      <c r="B9" s="7" t="n">
        <v>1</v>
      </c>
      <c r="C9" s="7" t="inlineStr">
        <is>
          <t>Receta</t>
        </is>
      </c>
      <c r="D9" s="7" t="inlineStr">
        <is>
          <t>Tortilla</t>
        </is>
      </c>
      <c r="E9" s="7" t="n">
        <v>1</v>
      </c>
      <c r="F9" s="7" t="inlineStr">
        <is>
          <t>Queso gouda</t>
        </is>
      </c>
      <c r="G9" s="7" t="n">
        <v>1</v>
      </c>
      <c r="H9" s="7" t="inlineStr">
        <is>
          <t>Champi</t>
        </is>
      </c>
      <c r="I9" s="7" t="n">
        <v>1</v>
      </c>
      <c r="J9" s="7" t="n"/>
      <c r="K9" s="7" t="n"/>
      <c r="L9" s="7" t="n"/>
      <c r="M9" s="7" t="n"/>
      <c r="N9" s="7" t="n"/>
      <c r="O9" s="7" t="n"/>
      <c r="P9" s="7" t="n"/>
      <c r="Q9" s="7" t="inlineStr">
        <is>
          <t>OK d181</t>
        </is>
      </c>
    </row>
    <row r="10">
      <c r="A10" s="6" t="n">
        <v>46254</v>
      </c>
      <c r="B10" s="7" t="n">
        <v>1</v>
      </c>
      <c r="C10" s="7" t="inlineStr">
        <is>
          <t>Receta</t>
        </is>
      </c>
      <c r="D10" s="7" t="inlineStr">
        <is>
          <t>Desayuno ingles</t>
        </is>
      </c>
      <c r="E10" s="7" t="n">
        <v>1</v>
      </c>
      <c r="F10" s="7" t="inlineStr">
        <is>
          <t>Huevos revueltos</t>
        </is>
      </c>
      <c r="G10" s="7" t="n">
        <v>1</v>
      </c>
      <c r="H10" s="7" t="n"/>
      <c r="I10" s="7" t="n"/>
      <c r="J10" s="7" t="n"/>
      <c r="K10" s="7" t="n"/>
      <c r="L10" s="7" t="n"/>
      <c r="M10" s="7" t="n"/>
      <c r="N10" s="7" t="inlineStr">
        <is>
          <t>Huevo frito</t>
        </is>
      </c>
      <c r="O10" s="7" t="n"/>
      <c r="P10" s="7" t="n"/>
      <c r="Q10" s="7" t="inlineStr">
        <is>
          <t>OK d181</t>
        </is>
      </c>
    </row>
    <row r="11">
      <c r="A11" s="6" t="n">
        <v>46254</v>
      </c>
      <c r="B11" s="7" t="n">
        <v>1</v>
      </c>
      <c r="C11" s="7" t="inlineStr">
        <is>
          <t>Receta</t>
        </is>
      </c>
      <c r="D11" s="7" t="inlineStr">
        <is>
          <t>Huevo pochado</t>
        </is>
      </c>
      <c r="E11" s="7" t="n">
        <v>2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inlineStr">
        <is>
          <t>OK d181</t>
        </is>
      </c>
    </row>
    <row r="12">
      <c r="A12" s="6" t="n">
        <v>46254</v>
      </c>
      <c r="B12" s="7" t="n">
        <v>1</v>
      </c>
      <c r="C12" s="7" t="inlineStr">
        <is>
          <t>Receta</t>
        </is>
      </c>
      <c r="D12" s="7" t="inlineStr">
        <is>
          <t>Huevos revueltos</t>
        </is>
      </c>
      <c r="E12" s="7" t="n">
        <v>1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inlineStr">
        <is>
          <t>OK d181</t>
        </is>
      </c>
    </row>
    <row r="13">
      <c r="A13" s="6" t="n">
        <v>46254</v>
      </c>
      <c r="B13" s="7" t="n">
        <v>1</v>
      </c>
      <c r="C13" s="7" t="inlineStr">
        <is>
          <t>Receta</t>
        </is>
      </c>
      <c r="D13" s="7" t="inlineStr">
        <is>
          <t>Huevo frito</t>
        </is>
      </c>
      <c r="E13" s="7" t="n">
        <v>1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inlineStr">
        <is>
          <t>OK d181</t>
        </is>
      </c>
    </row>
    <row r="14">
      <c r="A14" s="6" t="n">
        <v>46254</v>
      </c>
      <c r="B14" s="7" t="n">
        <v>1</v>
      </c>
      <c r="C14" s="7" t="inlineStr">
        <is>
          <t>Receta</t>
        </is>
      </c>
      <c r="D14" s="7" t="inlineStr">
        <is>
          <t>Tostada del dia</t>
        </is>
      </c>
      <c r="E14" s="7" t="n">
        <v>1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inlineStr">
        <is>
          <t>OK d181</t>
        </is>
      </c>
    </row>
    <row r="15">
      <c r="A15" s="6" t="n">
        <v>46254</v>
      </c>
      <c r="B15" s="7" t="n">
        <v>1</v>
      </c>
      <c r="C15" s="7" t="inlineStr">
        <is>
          <t>Receta</t>
        </is>
      </c>
      <c r="D15" s="7" t="inlineStr">
        <is>
          <t>Huevo frito</t>
        </is>
      </c>
      <c r="E15" s="7" t="n">
        <v>1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inlineStr">
        <is>
          <t>OK d181</t>
        </is>
      </c>
    </row>
    <row r="16">
      <c r="A16" s="6" t="n">
        <v>46254</v>
      </c>
      <c r="B16" s="7" t="n">
        <v>1</v>
      </c>
      <c r="C16" s="7" t="inlineStr">
        <is>
          <t>Receta</t>
        </is>
      </c>
      <c r="D16" s="7" t="inlineStr">
        <is>
          <t>Tostada del dia</t>
        </is>
      </c>
      <c r="E16" s="7" t="n">
        <v>1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inlineStr">
        <is>
          <t>OK d181</t>
        </is>
      </c>
    </row>
    <row r="17">
      <c r="A17" s="6" t="n">
        <v>46254</v>
      </c>
      <c r="B17" s="7" t="n">
        <v>0</v>
      </c>
      <c r="C17" s="7" t="inlineStr">
        <is>
          <t>Receta</t>
        </is>
      </c>
      <c r="D17" s="7" t="inlineStr">
        <is>
          <t>Tortilla</t>
        </is>
      </c>
      <c r="E17" s="7" t="n">
        <v>1</v>
      </c>
      <c r="F17" s="7" t="inlineStr">
        <is>
          <t>Champi</t>
        </is>
      </c>
      <c r="G17" s="7" t="n">
        <v>1</v>
      </c>
      <c r="H17" s="7" t="inlineStr">
        <is>
          <t>Jamon cocido</t>
        </is>
      </c>
      <c r="I17" s="7" t="n">
        <v>1</v>
      </c>
      <c r="J17" s="7" t="inlineStr">
        <is>
          <t>Queso cheddar</t>
        </is>
      </c>
      <c r="K17" s="7" t="n">
        <v>1</v>
      </c>
      <c r="L17" s="7" t="n"/>
      <c r="M17" s="7" t="n"/>
      <c r="N17" s="7" t="n"/>
      <c r="O17" s="7" t="n"/>
      <c r="P17" s="7" t="n"/>
      <c r="Q17" s="7" t="inlineStr">
        <is>
          <t>OK d181</t>
        </is>
      </c>
    </row>
    <row r="18">
      <c r="A18" s="6" t="n">
        <v>46254</v>
      </c>
      <c r="B18" s="7" t="n">
        <v>1</v>
      </c>
      <c r="C18" s="7" t="inlineStr">
        <is>
          <t>Receta</t>
        </is>
      </c>
      <c r="D18" s="7" t="inlineStr">
        <is>
          <t>Huevo frito</t>
        </is>
      </c>
      <c r="E18" s="7" t="n">
        <v>2</v>
      </c>
      <c r="F18" s="7" t="inlineStr">
        <is>
          <t>Hashbrown</t>
        </is>
      </c>
      <c r="G18" s="7" t="n">
        <v>1</v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inlineStr">
        <is>
          <t>OK d181</t>
        </is>
      </c>
    </row>
    <row r="19">
      <c r="A19" s="6" t="n">
        <v>46254</v>
      </c>
      <c r="B19" s="7" t="n">
        <v>1</v>
      </c>
      <c r="C19" s="7" t="inlineStr">
        <is>
          <t>Receta</t>
        </is>
      </c>
      <c r="D19" s="7" t="inlineStr">
        <is>
          <t>Tortilla</t>
        </is>
      </c>
      <c r="E19" s="7" t="n">
        <v>1</v>
      </c>
      <c r="F19" s="7" t="inlineStr">
        <is>
          <t>Tomate</t>
        </is>
      </c>
      <c r="G19" s="7" t="n">
        <v>1</v>
      </c>
      <c r="H19" s="7" t="inlineStr">
        <is>
          <t>Hashbrown</t>
        </is>
      </c>
      <c r="I19" s="7" t="n">
        <v>1</v>
      </c>
      <c r="J19" s="7" t="n"/>
      <c r="K19" s="7" t="n"/>
      <c r="L19" s="7" t="n"/>
      <c r="M19" s="7" t="n"/>
      <c r="N19" s="7" t="n"/>
      <c r="O19" s="7" t="n"/>
      <c r="P19" s="7" t="n"/>
      <c r="Q19" s="7" t="inlineStr">
        <is>
          <t>OK d181</t>
        </is>
      </c>
    </row>
    <row r="20">
      <c r="A20" s="6" t="n">
        <v>46254</v>
      </c>
      <c r="B20" s="7" t="n">
        <v>1</v>
      </c>
      <c r="C20" s="7" t="inlineStr">
        <is>
          <t>Receta</t>
        </is>
      </c>
      <c r="D20" s="7" t="inlineStr">
        <is>
          <t>Sandwich mixto</t>
        </is>
      </c>
      <c r="E20" s="7" t="n">
        <v>1</v>
      </c>
      <c r="F20" s="7" t="inlineStr">
        <is>
          <t>Tostada integral</t>
        </is>
      </c>
      <c r="G20" s="7" t="n">
        <v>2</v>
      </c>
      <c r="H20" s="7" t="n"/>
      <c r="I20" s="7" t="n"/>
      <c r="J20" s="7" t="n"/>
      <c r="K20" s="7" t="n"/>
      <c r="L20" s="7" t="n"/>
      <c r="M20" s="7" t="n"/>
      <c r="N20" s="7" t="inlineStr">
        <is>
          <t>Sin tostada</t>
        </is>
      </c>
      <c r="O20" s="7" t="n"/>
      <c r="P20" s="7" t="n"/>
      <c r="Q20" s="7" t="inlineStr">
        <is>
          <t>OK d181</t>
        </is>
      </c>
    </row>
    <row r="21">
      <c r="A21" s="6" t="n">
        <v>46254</v>
      </c>
      <c r="B21" s="7" t="n">
        <v>1</v>
      </c>
      <c r="C21" s="7" t="inlineStr">
        <is>
          <t>Producto</t>
        </is>
      </c>
      <c r="D21" s="7" t="inlineStr">
        <is>
          <t>Pan sin gluten</t>
        </is>
      </c>
      <c r="E21" s="7" t="n">
        <v>2</v>
      </c>
      <c r="F21" s="7" t="inlineStr">
        <is>
          <t>Huevo pochado</t>
        </is>
      </c>
      <c r="G21" s="7" t="n">
        <v>1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inlineStr">
        <is>
          <t>OK d181</t>
        </is>
      </c>
    </row>
    <row r="22">
      <c r="A22" s="6" t="n">
        <v>46254</v>
      </c>
      <c r="B22" s="7" t="n">
        <v>1</v>
      </c>
      <c r="C22" s="7" t="inlineStr">
        <is>
          <t>Receta</t>
        </is>
      </c>
      <c r="D22" s="7" t="inlineStr">
        <is>
          <t>Tortilla</t>
        </is>
      </c>
      <c r="E22" s="7" t="n">
        <v>1</v>
      </c>
      <c r="F22" s="7" t="inlineStr">
        <is>
          <t>Queso cheddar</t>
        </is>
      </c>
      <c r="G22" s="7" t="n">
        <v>1</v>
      </c>
      <c r="H22" s="7" t="inlineStr">
        <is>
          <t>Jamon cocido</t>
        </is>
      </c>
      <c r="I22" s="7" t="n">
        <v>1</v>
      </c>
      <c r="J22" s="7" t="inlineStr">
        <is>
          <t>Pimiento</t>
        </is>
      </c>
      <c r="K22" s="7" t="n">
        <v>1</v>
      </c>
      <c r="L22" s="7" t="inlineStr">
        <is>
          <t>Champi</t>
        </is>
      </c>
      <c r="M22" s="7" t="n">
        <v>1</v>
      </c>
      <c r="N22" s="7" t="n"/>
      <c r="O22" s="7" t="n"/>
      <c r="P22" s="7" t="n"/>
      <c r="Q22" s="7" t="inlineStr">
        <is>
          <t>OK d181</t>
        </is>
      </c>
    </row>
    <row r="23">
      <c r="A23" s="6" t="n">
        <v>46254</v>
      </c>
      <c r="B23" s="7" t="n">
        <v>1</v>
      </c>
      <c r="C23" s="7" t="inlineStr">
        <is>
          <t>Receta</t>
        </is>
      </c>
      <c r="D23" s="7" t="inlineStr">
        <is>
          <t>Tortilla</t>
        </is>
      </c>
      <c r="E23" s="7" t="n">
        <v>1</v>
      </c>
      <c r="F23" s="7" t="inlineStr">
        <is>
          <t>Queso cheddar</t>
        </is>
      </c>
      <c r="G23" s="7" t="n">
        <v>1</v>
      </c>
      <c r="H23" s="7" t="inlineStr">
        <is>
          <t>Jamon cocido</t>
        </is>
      </c>
      <c r="I23" s="7" t="n">
        <v>1</v>
      </c>
      <c r="J23" s="7" t="inlineStr">
        <is>
          <t>Pimiento</t>
        </is>
      </c>
      <c r="K23" s="7" t="n">
        <v>1</v>
      </c>
      <c r="L23" s="7" t="inlineStr">
        <is>
          <t>Champi</t>
        </is>
      </c>
      <c r="M23" s="7" t="n">
        <v>1</v>
      </c>
      <c r="N23" s="7" t="n"/>
      <c r="O23" s="7" t="n"/>
      <c r="P23" s="7" t="n"/>
      <c r="Q23" s="7" t="inlineStr">
        <is>
          <t>OK d181</t>
        </is>
      </c>
    </row>
    <row r="24">
      <c r="A24" s="6" t="n">
        <v>46254</v>
      </c>
      <c r="B24" s="7" t="n">
        <v>1</v>
      </c>
      <c r="C24" s="7" t="inlineStr">
        <is>
          <t>Receta</t>
        </is>
      </c>
      <c r="D24" s="7" t="inlineStr">
        <is>
          <t>Huevo pochado</t>
        </is>
      </c>
      <c r="E24" s="7" t="n">
        <v>1</v>
      </c>
      <c r="F24" s="7" t="inlineStr">
        <is>
          <t>Bacon</t>
        </is>
      </c>
      <c r="G24" s="7" t="n">
        <v>1</v>
      </c>
      <c r="H24" s="7" t="inlineStr">
        <is>
          <t>Champi</t>
        </is>
      </c>
      <c r="I24" s="7" t="n">
        <v>1</v>
      </c>
      <c r="J24" s="7" t="n"/>
      <c r="K24" s="7" t="n"/>
      <c r="L24" s="7" t="n"/>
      <c r="M24" s="7" t="n"/>
      <c r="N24" s="7" t="n"/>
      <c r="O24" s="7" t="n"/>
      <c r="P24" s="7" t="n"/>
      <c r="Q24" s="7" t="inlineStr">
        <is>
          <t>OK d181</t>
        </is>
      </c>
    </row>
    <row r="25">
      <c r="A25" s="6" t="n">
        <v>46254</v>
      </c>
      <c r="B25" s="7" t="n">
        <v>1</v>
      </c>
      <c r="C25" s="7" t="inlineStr">
        <is>
          <t>Receta</t>
        </is>
      </c>
      <c r="D25" s="7" t="inlineStr">
        <is>
          <t>Huevo pochado</t>
        </is>
      </c>
      <c r="E25" s="7" t="n">
        <v>2</v>
      </c>
      <c r="F25" s="7" t="inlineStr">
        <is>
          <t>Bacon</t>
        </is>
      </c>
      <c r="G25" s="7" t="n">
        <v>2</v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inlineStr">
        <is>
          <t>OK d181</t>
        </is>
      </c>
    </row>
    <row r="26">
      <c r="A26" s="6" t="n">
        <v>46254</v>
      </c>
      <c r="B26" s="7" t="n">
        <v>1</v>
      </c>
      <c r="C26" s="7" t="inlineStr">
        <is>
          <t>Receta</t>
        </is>
      </c>
      <c r="D26" s="7" t="inlineStr">
        <is>
          <t>Tortilla</t>
        </is>
      </c>
      <c r="E26" s="7" t="n">
        <v>1</v>
      </c>
      <c r="F26" s="7" t="inlineStr">
        <is>
          <t>Queso cheddar</t>
        </is>
      </c>
      <c r="G26" s="7" t="n">
        <v>1</v>
      </c>
      <c r="H26" s="7" t="inlineStr">
        <is>
          <t>Bacon</t>
        </is>
      </c>
      <c r="I26" s="7" t="n">
        <v>2</v>
      </c>
      <c r="J26" s="7" t="inlineStr">
        <is>
          <t>Alubias</t>
        </is>
      </c>
      <c r="K26" s="7" t="n">
        <v>1</v>
      </c>
      <c r="L26" s="7" t="inlineStr">
        <is>
          <t>Salchicha</t>
        </is>
      </c>
      <c r="M26" s="7" t="n">
        <v>2</v>
      </c>
      <c r="N26" s="7" t="n"/>
      <c r="O26" s="7" t="n"/>
      <c r="P26" s="7" t="n"/>
      <c r="Q26" s="7" t="inlineStr">
        <is>
          <t>OK d181</t>
        </is>
      </c>
    </row>
    <row r="27">
      <c r="A27" s="6" t="n">
        <v>46254</v>
      </c>
      <c r="B27" s="7" t="n">
        <v>1</v>
      </c>
      <c r="C27" s="7" t="inlineStr">
        <is>
          <t>Receta</t>
        </is>
      </c>
      <c r="D27" s="7" t="inlineStr">
        <is>
          <t>Tostada francesa</t>
        </is>
      </c>
      <c r="E27" s="7" t="n">
        <v>1</v>
      </c>
      <c r="F27" s="7" t="inlineStr">
        <is>
          <t>Hashbrown</t>
        </is>
      </c>
      <c r="G27" s="7" t="n">
        <v>1</v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inlineStr">
        <is>
          <t>OK d181</t>
        </is>
      </c>
    </row>
    <row r="28">
      <c r="A28" s="6" t="n">
        <v>46254</v>
      </c>
      <c r="B28" s="7" t="n">
        <v>1</v>
      </c>
      <c r="C28" s="7" t="inlineStr">
        <is>
          <t>Receta</t>
        </is>
      </c>
      <c r="D28" s="7" t="inlineStr">
        <is>
          <t>Huevo pochado</t>
        </is>
      </c>
      <c r="E28" s="7" t="n">
        <v>2</v>
      </c>
      <c r="F28" s="7" t="inlineStr">
        <is>
          <t>Bacon</t>
        </is>
      </c>
      <c r="G28" s="7" t="n">
        <v>2</v>
      </c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inlineStr">
        <is>
          <t>OK d181</t>
        </is>
      </c>
    </row>
    <row r="29">
      <c r="A29" s="6" t="n">
        <v>46254</v>
      </c>
      <c r="B29" s="7" t="n">
        <v>1</v>
      </c>
      <c r="C29" s="7" t="inlineStr">
        <is>
          <t>Receta</t>
        </is>
      </c>
      <c r="D29" s="7" t="inlineStr">
        <is>
          <t>Huevo pochado</t>
        </is>
      </c>
      <c r="E29" s="7" t="n">
        <v>2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inlineStr">
        <is>
          <t>OK d181</t>
        </is>
      </c>
    </row>
    <row r="30">
      <c r="A30" s="6" t="n">
        <v>46254</v>
      </c>
      <c r="B30" s="7" t="n">
        <v>1</v>
      </c>
      <c r="C30" s="7" t="inlineStr">
        <is>
          <t>Receta</t>
        </is>
      </c>
      <c r="D30" s="7" t="inlineStr">
        <is>
          <t>Tortilla</t>
        </is>
      </c>
      <c r="E30" s="7" t="n">
        <v>1</v>
      </c>
      <c r="F30" s="7" t="inlineStr">
        <is>
          <t>Queso cheddar</t>
        </is>
      </c>
      <c r="G30" s="7" t="n">
        <v>1</v>
      </c>
      <c r="H30" s="7" t="inlineStr">
        <is>
          <t>Espinacas</t>
        </is>
      </c>
      <c r="I30" s="7" t="n">
        <v>1</v>
      </c>
      <c r="J30" s="7" t="n"/>
      <c r="K30" s="7" t="n"/>
      <c r="L30" s="7" t="n"/>
      <c r="M30" s="7" t="n"/>
      <c r="N30" s="7" t="n"/>
      <c r="O30" s="7" t="n"/>
      <c r="P30" s="7" t="n"/>
      <c r="Q30" s="7" t="inlineStr">
        <is>
          <t>OK d181</t>
        </is>
      </c>
    </row>
    <row r="31">
      <c r="A31" s="6" t="n">
        <v>46254</v>
      </c>
      <c r="B31" s="7" t="n">
        <v>1</v>
      </c>
      <c r="C31" s="7" t="inlineStr">
        <is>
          <t>Receta</t>
        </is>
      </c>
      <c r="D31" s="7" t="inlineStr">
        <is>
          <t>Tortilla</t>
        </is>
      </c>
      <c r="E31" s="7" t="n">
        <v>1</v>
      </c>
      <c r="F31" s="7" t="inlineStr">
        <is>
          <t>Queso cheddar</t>
        </is>
      </c>
      <c r="G31" s="7" t="n">
        <v>1</v>
      </c>
      <c r="H31" s="7" t="inlineStr">
        <is>
          <t>Espinacas</t>
        </is>
      </c>
      <c r="I31" s="7" t="n">
        <v>1</v>
      </c>
      <c r="J31" s="7" t="n"/>
      <c r="K31" s="7" t="n"/>
      <c r="L31" s="7" t="n"/>
      <c r="M31" s="7" t="n"/>
      <c r="N31" s="7" t="n"/>
      <c r="O31" s="7" t="n"/>
      <c r="P31" s="7" t="n"/>
      <c r="Q31" s="7" t="inlineStr">
        <is>
          <t>OK d181</t>
        </is>
      </c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</row>
  </sheetData>
  <autoFilter ref="A1:Q1"/>
  <dataValidations count="4">
    <dataValidation sqref="C2:C500" showDropDown="0" showInputMessage="0" showErrorMessage="0" allowBlank="1" type="list">
      <formula1>"Receta,Extra,Producto"</formula1>
    </dataValidation>
    <dataValidation sqref="D2:D500" showDropDown="0" showInputMessage="0" showErrorMessage="0" allowBlank="1" type="list">
      <formula1>Catalogo!$C$2:$C$93</formula1>
    </dataValidation>
    <dataValidation sqref="F2:F500 H2:H500 J2:J500 L2:L500 N2:N500 O2:O500" showDropDown="0" showInputMessage="0" showErrorMessage="0" allowBlank="1" type="list">
      <formula1>Catalogo!$E$2:$E$59</formula1>
    </dataValidation>
    <dataValidation sqref="E2:E500 G2:G500 I2:I500 K2:K500 M2:M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22" customWidth="1" min="4" max="4"/>
    <col width="28" customWidth="1" min="5" max="5"/>
    <col width="22" customWidth="1" min="6" max="6"/>
    <col width="42" customWidth="1" min="7" max="7"/>
    <col width="42" customWidth="1" min="8" max="8"/>
    <col width="42" customWidth="1" min="9" max="9"/>
  </cols>
  <sheetData>
    <row r="1">
      <c r="A1" s="8" t="inlineStr">
        <is>
          <t>Recetas_desayuno</t>
        </is>
      </c>
      <c r="B1" s="8" t="inlineStr">
        <is>
          <t>Extras_rapidos</t>
        </is>
      </c>
      <c r="C1" s="8" t="inlineStr">
        <is>
          <t>Nombres_todos</t>
        </is>
      </c>
      <c r="D1" s="8" t="inlineStr">
        <is>
          <t>Huevos_ofrecidos</t>
        </is>
      </c>
      <c r="E1" s="8" t="inlineStr">
        <is>
          <t>Extra_u_Omitir</t>
        </is>
      </c>
      <c r="F1" s="8" t="inlineStr">
        <is>
          <t>Panes_ofrecidos</t>
        </is>
      </c>
      <c r="G1" s="8" t="inlineStr">
        <is>
          <t>Recetas_comida</t>
        </is>
      </c>
      <c r="H1" s="8" t="inlineStr">
        <is>
          <t>Recetas_cena</t>
        </is>
      </c>
      <c r="I1" s="8" t="inlineStr">
        <is>
          <t>Bebidas_desayuno</t>
        </is>
      </c>
    </row>
    <row r="2">
      <c r="A2" s="9" t="inlineStr">
        <is>
          <t>Americano</t>
        </is>
      </c>
      <c r="B2" s="9" t="inlineStr">
        <is>
          <t>Queso cheddar</t>
        </is>
      </c>
      <c r="C2" t="inlineStr">
        <is>
          <t>Americano</t>
        </is>
      </c>
      <c r="D2" s="10" t="inlineStr">
        <is>
          <t>Huevo frito</t>
        </is>
      </c>
      <c r="E2" t="inlineStr">
        <is>
          <t>Queso cheddar</t>
        </is>
      </c>
      <c r="F2" s="11" t="inlineStr">
        <is>
          <t>Tostada</t>
        </is>
      </c>
      <c r="G2" s="9" t="inlineStr">
        <is>
          <t>Absolut</t>
        </is>
      </c>
      <c r="H2" s="9" t="inlineStr">
        <is>
          <t>Absolut</t>
        </is>
      </c>
      <c r="I2" s="9" t="inlineStr">
        <is>
          <t>Americano</t>
        </is>
      </c>
    </row>
    <row r="3">
      <c r="A3" s="9" t="inlineStr">
        <is>
          <t>Botella Roger de Flor</t>
        </is>
      </c>
      <c r="B3" s="9" t="inlineStr">
        <is>
          <t>Queso gouda</t>
        </is>
      </c>
      <c r="C3" t="inlineStr">
        <is>
          <t>Botella Roger de Flor</t>
        </is>
      </c>
      <c r="D3" s="10" t="inlineStr">
        <is>
          <t>Huevo pochado</t>
        </is>
      </c>
      <c r="E3" t="inlineStr">
        <is>
          <t>Queso gouda</t>
        </is>
      </c>
      <c r="F3" s="11" t="inlineStr">
        <is>
          <t>Tostada integral</t>
        </is>
      </c>
      <c r="G3" s="9" t="inlineStr">
        <is>
          <t>Amaretto</t>
        </is>
      </c>
      <c r="H3" s="9" t="inlineStr">
        <is>
          <t>Amaretto</t>
        </is>
      </c>
      <c r="I3" s="9" t="inlineStr">
        <is>
          <t>Botella Roger de Flor</t>
        </is>
      </c>
    </row>
    <row r="4">
      <c r="A4" s="9" t="inlineStr">
        <is>
          <t>Cafe con leche</t>
        </is>
      </c>
      <c r="B4" s="9" t="inlineStr">
        <is>
          <t>Bacon</t>
        </is>
      </c>
      <c r="C4" t="inlineStr">
        <is>
          <t>Cafe con leche</t>
        </is>
      </c>
      <c r="D4" s="10" t="inlineStr">
        <is>
          <t>Huevo cocido</t>
        </is>
      </c>
      <c r="E4" t="inlineStr">
        <is>
          <t>Bacon</t>
        </is>
      </c>
      <c r="F4" s="11" t="inlineStr">
        <is>
          <t>Tostada sin gluten</t>
        </is>
      </c>
      <c r="G4" s="9" t="inlineStr">
        <is>
          <t>Americano</t>
        </is>
      </c>
      <c r="H4" s="9" t="inlineStr">
        <is>
          <t>Americano</t>
        </is>
      </c>
      <c r="I4" s="9" t="inlineStr">
        <is>
          <t>Cafe con leche</t>
        </is>
      </c>
    </row>
    <row r="5">
      <c r="A5" s="9" t="inlineStr">
        <is>
          <t>Cafe con leche descafeinado</t>
        </is>
      </c>
      <c r="B5" s="9" t="inlineStr">
        <is>
          <t>Jamon cocido</t>
        </is>
      </c>
      <c r="C5" t="inlineStr">
        <is>
          <t>Cafe con leche descafeinado</t>
        </is>
      </c>
      <c r="D5" s="10" t="inlineStr">
        <is>
          <t>Huevos revueltos</t>
        </is>
      </c>
      <c r="E5" t="inlineStr">
        <is>
          <t>Jamon cocido</t>
        </is>
      </c>
      <c r="F5" s="11" t="inlineStr">
        <is>
          <t>Pan blanco</t>
        </is>
      </c>
      <c r="G5" s="9" t="inlineStr">
        <is>
          <t>Aperol</t>
        </is>
      </c>
      <c r="H5" s="9" t="inlineStr">
        <is>
          <t>Aperol</t>
        </is>
      </c>
      <c r="I5" s="9" t="inlineStr">
        <is>
          <t>Cafe con leche descafeinado</t>
        </is>
      </c>
    </row>
    <row r="6">
      <c r="A6" s="9" t="inlineStr">
        <is>
          <t>Cafe con leche semi</t>
        </is>
      </c>
      <c r="B6" s="9" t="inlineStr">
        <is>
          <t>Tostada</t>
        </is>
      </c>
      <c r="C6" t="inlineStr">
        <is>
          <t>Cafe con leche semi</t>
        </is>
      </c>
      <c r="D6" s="10" t="inlineStr">
        <is>
          <t>Sin huevo</t>
        </is>
      </c>
      <c r="E6" s="11" t="inlineStr">
        <is>
          <t>Tostada</t>
        </is>
      </c>
      <c r="F6" s="11" t="inlineStr">
        <is>
          <t>Pan integral</t>
        </is>
      </c>
      <c r="G6" s="9" t="inlineStr">
        <is>
          <t>Aperol Spritz</t>
        </is>
      </c>
      <c r="H6" s="9" t="inlineStr">
        <is>
          <t>Aperol Spritz</t>
        </is>
      </c>
      <c r="I6" s="9" t="inlineStr">
        <is>
          <t>Cafe con leche semi</t>
        </is>
      </c>
    </row>
    <row r="7">
      <c r="A7" s="9" t="inlineStr">
        <is>
          <t>Capuchino</t>
        </is>
      </c>
      <c r="B7" s="9" t="inlineStr">
        <is>
          <t>Tostada integral</t>
        </is>
      </c>
      <c r="C7" t="inlineStr">
        <is>
          <t>Capuchino</t>
        </is>
      </c>
      <c r="E7" s="11" t="inlineStr">
        <is>
          <t>Tostada integral</t>
        </is>
      </c>
      <c r="F7" s="11" t="inlineStr">
        <is>
          <t>Pan sin gluten</t>
        </is>
      </c>
      <c r="G7" s="9" t="inlineStr">
        <is>
          <t>Bacalao en tempura</t>
        </is>
      </c>
      <c r="H7" s="9" t="inlineStr">
        <is>
          <t>Baileys</t>
        </is>
      </c>
      <c r="I7" s="9" t="inlineStr">
        <is>
          <t>Capuchino</t>
        </is>
      </c>
    </row>
    <row r="8">
      <c r="A8" s="9" t="inlineStr">
        <is>
          <t>Capuchino semi</t>
        </is>
      </c>
      <c r="B8" s="9" t="inlineStr">
        <is>
          <t>Pan blanco</t>
        </is>
      </c>
      <c r="C8" t="inlineStr">
        <is>
          <t>Capuchino semi</t>
        </is>
      </c>
      <c r="E8" s="11" t="inlineStr">
        <is>
          <t>Pan blanco</t>
        </is>
      </c>
      <c r="F8" s="11" t="inlineStr">
        <is>
          <t>Sin tostada</t>
        </is>
      </c>
      <c r="G8" s="9" t="inlineStr">
        <is>
          <t>Baileys</t>
        </is>
      </c>
      <c r="H8" s="9" t="inlineStr">
        <is>
          <t>Beefeater</t>
        </is>
      </c>
      <c r="I8" s="9" t="inlineStr">
        <is>
          <t>Capuchino semi</t>
        </is>
      </c>
    </row>
    <row r="9">
      <c r="A9" s="9" t="inlineStr">
        <is>
          <t>Cola Cao</t>
        </is>
      </c>
      <c r="B9" s="9" t="inlineStr">
        <is>
          <t>Pan integral</t>
        </is>
      </c>
      <c r="C9" t="inlineStr">
        <is>
          <t>Cola Cao</t>
        </is>
      </c>
      <c r="E9" s="11" t="inlineStr">
        <is>
          <t>Pan integral</t>
        </is>
      </c>
      <c r="G9" s="9" t="inlineStr">
        <is>
          <t>Banana split</t>
        </is>
      </c>
      <c r="H9" s="9" t="inlineStr">
        <is>
          <t>Blue Hawaii</t>
        </is>
      </c>
      <c r="I9" s="9" t="inlineStr">
        <is>
          <t>Cava Roger de Flor</t>
        </is>
      </c>
    </row>
    <row r="10">
      <c r="A10" s="9" t="inlineStr">
        <is>
          <t>Cola Cao semi</t>
        </is>
      </c>
      <c r="B10" s="9" t="inlineStr">
        <is>
          <t>Tostada sin gluten</t>
        </is>
      </c>
      <c r="C10" t="inlineStr">
        <is>
          <t>Cola Cao semi</t>
        </is>
      </c>
      <c r="E10" s="11" t="inlineStr">
        <is>
          <t>Tostada sin gluten</t>
        </is>
      </c>
      <c r="G10" s="9" t="inlineStr">
        <is>
          <t>Beefeater</t>
        </is>
      </c>
      <c r="H10" s="9" t="inlineStr">
        <is>
          <t>Botella Anna Codorniu Mini</t>
        </is>
      </c>
      <c r="I10" s="9" t="inlineStr">
        <is>
          <t>Cola Cao</t>
        </is>
      </c>
    </row>
    <row r="11">
      <c r="A11" s="9" t="inlineStr">
        <is>
          <t>Cortado</t>
        </is>
      </c>
      <c r="B11" s="9" t="inlineStr">
        <is>
          <t>Pan sin gluten</t>
        </is>
      </c>
      <c r="C11" t="inlineStr">
        <is>
          <t>Cortado</t>
        </is>
      </c>
      <c r="E11" s="11" t="inlineStr">
        <is>
          <t>Pan sin gluten</t>
        </is>
      </c>
      <c r="G11" s="9" t="inlineStr">
        <is>
          <t>Blue Hawaii</t>
        </is>
      </c>
      <c r="H11" s="9" t="inlineStr">
        <is>
          <t>Botella Codorniu Prima Vides</t>
        </is>
      </c>
      <c r="I11" s="9" t="inlineStr">
        <is>
          <t>Cola Cao semi</t>
        </is>
      </c>
    </row>
    <row r="12">
      <c r="A12" s="9" t="inlineStr">
        <is>
          <t>Cortado semi</t>
        </is>
      </c>
      <c r="B12" s="9" t="inlineStr">
        <is>
          <t>Salchicha</t>
        </is>
      </c>
      <c r="C12" t="inlineStr">
        <is>
          <t>Cortado semi</t>
        </is>
      </c>
      <c r="E12" t="inlineStr">
        <is>
          <t>Salchicha</t>
        </is>
      </c>
      <c r="G12" s="9" t="inlineStr">
        <is>
          <t>Bola de helado</t>
        </is>
      </c>
      <c r="H12" s="9" t="inlineStr">
        <is>
          <t>Botella Ederra</t>
        </is>
      </c>
      <c r="I12" s="9" t="inlineStr">
        <is>
          <t>Cortado</t>
        </is>
      </c>
    </row>
    <row r="13">
      <c r="A13" s="9" t="inlineStr">
        <is>
          <t>Desayuno ingles</t>
        </is>
      </c>
      <c r="B13" s="9" t="inlineStr">
        <is>
          <t>Hashbrown</t>
        </is>
      </c>
      <c r="C13" t="inlineStr">
        <is>
          <t>Desayuno ingles</t>
        </is>
      </c>
      <c r="E13" t="inlineStr">
        <is>
          <t>Hashbrown</t>
        </is>
      </c>
      <c r="G13" s="9" t="inlineStr">
        <is>
          <t>Botella Anna Codorniu Mini</t>
        </is>
      </c>
      <c r="H13" s="9" t="inlineStr">
        <is>
          <t>Botella El Grifo</t>
        </is>
      </c>
      <c r="I13" s="9" t="inlineStr">
        <is>
          <t>Cortado semi</t>
        </is>
      </c>
    </row>
    <row r="14">
      <c r="A14" s="9" t="inlineStr">
        <is>
          <t>Espresso</t>
        </is>
      </c>
      <c r="B14" s="9" t="inlineStr">
        <is>
          <t>Champi</t>
        </is>
      </c>
      <c r="C14" t="inlineStr">
        <is>
          <t>Espresso</t>
        </is>
      </c>
      <c r="E14" t="inlineStr">
        <is>
          <t>Champi</t>
        </is>
      </c>
      <c r="G14" s="9" t="inlineStr">
        <is>
          <t>Botella Codorniu Prima Vides</t>
        </is>
      </c>
      <c r="H14" s="9" t="inlineStr">
        <is>
          <t>Botella Montecillo Blanco</t>
        </is>
      </c>
      <c r="I14" s="9" t="inlineStr">
        <is>
          <t>Espresso</t>
        </is>
      </c>
    </row>
    <row r="15">
      <c r="A15" s="9" t="inlineStr">
        <is>
          <t>Espresso descafeinado</t>
        </is>
      </c>
      <c r="B15" s="9" t="inlineStr">
        <is>
          <t>Aguacate</t>
        </is>
      </c>
      <c r="C15" t="inlineStr">
        <is>
          <t>Espresso descafeinado</t>
        </is>
      </c>
      <c r="E15" t="inlineStr">
        <is>
          <t>Aguacate</t>
        </is>
      </c>
      <c r="G15" s="9" t="inlineStr">
        <is>
          <t>Botella Ederra</t>
        </is>
      </c>
      <c r="H15" s="9" t="inlineStr">
        <is>
          <t>Botella Montecillo Crianza</t>
        </is>
      </c>
      <c r="I15" s="9" t="inlineStr">
        <is>
          <t>Espresso descafeinado</t>
        </is>
      </c>
    </row>
    <row r="16">
      <c r="A16" s="9" t="inlineStr">
        <is>
          <t>Estándar buffet desayuno diario</t>
        </is>
      </c>
      <c r="B16" s="9" t="inlineStr">
        <is>
          <t>Salmon</t>
        </is>
      </c>
      <c r="C16" t="inlineStr">
        <is>
          <t>Estándar buffet desayuno diario</t>
        </is>
      </c>
      <c r="E16" t="inlineStr">
        <is>
          <t>Salmon</t>
        </is>
      </c>
      <c r="G16" s="9" t="inlineStr">
        <is>
          <t>Botella El Grifo</t>
        </is>
      </c>
      <c r="H16" s="9" t="inlineStr">
        <is>
          <t>Botella Montecillo Reserva</t>
        </is>
      </c>
      <c r="I16" s="9" t="inlineStr">
        <is>
          <t>HELADO CHOCOLATE 5L</t>
        </is>
      </c>
    </row>
    <row r="17">
      <c r="A17" s="9" t="inlineStr">
        <is>
          <t>Huevo cocido</t>
        </is>
      </c>
      <c r="B17" s="9" t="inlineStr">
        <is>
          <t>Tomate</t>
        </is>
      </c>
      <c r="C17" t="inlineStr">
        <is>
          <t>Huevo cocido</t>
        </is>
      </c>
      <c r="E17" t="inlineStr">
        <is>
          <t>Tomate</t>
        </is>
      </c>
      <c r="G17" s="9" t="inlineStr">
        <is>
          <t>Botella Montecillo Blanco</t>
        </is>
      </c>
      <c r="H17" s="9" t="inlineStr">
        <is>
          <t>Botella Montecillo Rosado</t>
        </is>
      </c>
      <c r="I17" s="9" t="inlineStr">
        <is>
          <t>HELADO VAINILLA 5L</t>
        </is>
      </c>
    </row>
    <row r="18">
      <c r="A18" s="9" t="inlineStr">
        <is>
          <t>Huevo frito</t>
        </is>
      </c>
      <c r="B18" s="9" t="inlineStr">
        <is>
          <t>Cebolla</t>
        </is>
      </c>
      <c r="C18" t="inlineStr">
        <is>
          <t>Huevo frito</t>
        </is>
      </c>
      <c r="E18" t="inlineStr">
        <is>
          <t>Cebolla</t>
        </is>
      </c>
      <c r="G18" s="9" t="inlineStr">
        <is>
          <t>Botella Montecillo Crianza</t>
        </is>
      </c>
      <c r="H18" s="9" t="inlineStr">
        <is>
          <t>Botella Piper Heidsieck Brut</t>
        </is>
      </c>
      <c r="I18" s="9" t="inlineStr">
        <is>
          <t>Manzanilla</t>
        </is>
      </c>
    </row>
    <row r="19">
      <c r="A19" s="9" t="inlineStr">
        <is>
          <t>Huevo pochado</t>
        </is>
      </c>
      <c r="B19" s="9" t="inlineStr">
        <is>
          <t>Alubias</t>
        </is>
      </c>
      <c r="C19" t="inlineStr">
        <is>
          <t>Huevo pochado</t>
        </is>
      </c>
      <c r="E19" t="inlineStr">
        <is>
          <t>Alubias</t>
        </is>
      </c>
      <c r="G19" s="9" t="inlineStr">
        <is>
          <t>Botella Montecillo Reserva</t>
        </is>
      </c>
      <c r="H19" s="9" t="inlineStr">
        <is>
          <t>Botella Piper Heidsieck Rose</t>
        </is>
      </c>
      <c r="I19" s="9" t="inlineStr">
        <is>
          <t>Seleccion de te</t>
        </is>
      </c>
    </row>
    <row r="20">
      <c r="A20" s="9" t="inlineStr">
        <is>
          <t>Huevos revueltos</t>
        </is>
      </c>
      <c r="B20" s="9" t="inlineStr">
        <is>
          <t>Pimiento</t>
        </is>
      </c>
      <c r="C20" t="inlineStr">
        <is>
          <t>Huevos revueltos</t>
        </is>
      </c>
      <c r="E20" t="inlineStr">
        <is>
          <t>Pimiento</t>
        </is>
      </c>
      <c r="G20" s="9" t="inlineStr">
        <is>
          <t>Botella Montecillo Rosado</t>
        </is>
      </c>
      <c r="H20" s="9" t="inlineStr">
        <is>
          <t>Botella Roger de Flor</t>
        </is>
      </c>
      <c r="I20" s="9" t="inlineStr">
        <is>
          <t>SMOOTHIE B6 PITA-MANG-FRESA</t>
        </is>
      </c>
    </row>
    <row r="21">
      <c r="A21" s="9" t="inlineStr">
        <is>
          <t>Huevos rotos</t>
        </is>
      </c>
      <c r="B21" s="9" t="inlineStr">
        <is>
          <t>Espinacas</t>
        </is>
      </c>
      <c r="C21" t="inlineStr">
        <is>
          <t>Huevos rotos</t>
        </is>
      </c>
      <c r="E21" t="inlineStr">
        <is>
          <t>Espinacas</t>
        </is>
      </c>
      <c r="G21" s="9" t="inlineStr">
        <is>
          <t>Botella Piper Heidsieck Brut</t>
        </is>
      </c>
      <c r="H21" s="9" t="inlineStr">
        <is>
          <t>Cafe Baileys</t>
        </is>
      </c>
      <c r="I21" s="9" t="inlineStr">
        <is>
          <t>SMOOTHIES VIERA B7 COLADA</t>
        </is>
      </c>
    </row>
    <row r="22">
      <c r="A22" s="9" t="inlineStr">
        <is>
          <t>Manzanilla</t>
        </is>
      </c>
      <c r="B22" s="9" t="inlineStr">
        <is>
          <t>Tomate cherry</t>
        </is>
      </c>
      <c r="C22" t="inlineStr">
        <is>
          <t>Manzanilla</t>
        </is>
      </c>
      <c r="E22" t="inlineStr">
        <is>
          <t>Tomate cherry</t>
        </is>
      </c>
      <c r="G22" s="9" t="inlineStr">
        <is>
          <t>Botella Piper Heidsieck Rose</t>
        </is>
      </c>
      <c r="H22" s="9" t="inlineStr">
        <is>
          <t>Cafe con leche</t>
        </is>
      </c>
      <c r="I22" s="9" t="inlineStr">
        <is>
          <t>Te frutas del bosque</t>
        </is>
      </c>
    </row>
    <row r="23">
      <c r="A23" s="9" t="inlineStr">
        <is>
          <t>Sandwich de la casa</t>
        </is>
      </c>
      <c r="B23" s="9" t="inlineStr">
        <is>
          <t>Chorizo</t>
        </is>
      </c>
      <c r="C23" t="inlineStr">
        <is>
          <t>Sandwich de la casa</t>
        </is>
      </c>
      <c r="E23" t="inlineStr">
        <is>
          <t>Chorizo</t>
        </is>
      </c>
      <c r="G23" s="9" t="inlineStr">
        <is>
          <t>Botella Roger de Flor</t>
        </is>
      </c>
      <c r="H23" s="9" t="inlineStr">
        <is>
          <t>Cafe con leche descafeinado</t>
        </is>
      </c>
      <c r="I23" s="9" t="inlineStr">
        <is>
          <t>Te negro</t>
        </is>
      </c>
    </row>
    <row r="24">
      <c r="A24" s="9" t="inlineStr">
        <is>
          <t>Sandwich mixto</t>
        </is>
      </c>
      <c r="B24" s="9" t="inlineStr">
        <is>
          <t>Huevo frito</t>
        </is>
      </c>
      <c r="C24" t="inlineStr">
        <is>
          <t>Sandwich mixto</t>
        </is>
      </c>
      <c r="E24" s="10" t="inlineStr">
        <is>
          <t>Huevo frito</t>
        </is>
      </c>
      <c r="G24" s="9" t="inlineStr">
        <is>
          <t>Brownie con helado</t>
        </is>
      </c>
      <c r="H24" s="9" t="inlineStr">
        <is>
          <t>Cafe con leche semi</t>
        </is>
      </c>
      <c r="I24" s="9" t="inlineStr">
        <is>
          <t>Te rojo</t>
        </is>
      </c>
    </row>
    <row r="25">
      <c r="A25" s="9" t="inlineStr">
        <is>
          <t>Sandwich vegetal</t>
        </is>
      </c>
      <c r="B25" s="9" t="inlineStr">
        <is>
          <t>Huevo pochado</t>
        </is>
      </c>
      <c r="C25" t="inlineStr">
        <is>
          <t>Sandwich vegetal</t>
        </is>
      </c>
      <c r="E25" s="10" t="inlineStr">
        <is>
          <t>Huevo pochado</t>
        </is>
      </c>
      <c r="G25" s="9" t="inlineStr">
        <is>
          <t>Cafe Baileys</t>
        </is>
      </c>
      <c r="H25" s="9" t="inlineStr">
        <is>
          <t>Cafe irlandes</t>
        </is>
      </c>
      <c r="I25" s="9" t="inlineStr">
        <is>
          <t>Te verde</t>
        </is>
      </c>
    </row>
    <row r="26">
      <c r="A26" s="9" t="inlineStr">
        <is>
          <t>Seleccion de te</t>
        </is>
      </c>
      <c r="B26" s="9" t="inlineStr">
        <is>
          <t>Huevo cocido</t>
        </is>
      </c>
      <c r="C26" t="inlineStr">
        <is>
          <t>Seleccion de te</t>
        </is>
      </c>
      <c r="E26" s="10" t="inlineStr">
        <is>
          <t>Huevo cocido</t>
        </is>
      </c>
      <c r="G26" s="9" t="inlineStr">
        <is>
          <t>Cafe con leche</t>
        </is>
      </c>
      <c r="H26" s="9" t="inlineStr">
        <is>
          <t>Caipirinha</t>
        </is>
      </c>
    </row>
    <row r="27">
      <c r="A27" s="9" t="inlineStr">
        <is>
          <t>Te frutas del bosque</t>
        </is>
      </c>
      <c r="B27" s="9" t="inlineStr">
        <is>
          <t>Huevos revueltos</t>
        </is>
      </c>
      <c r="C27" t="inlineStr">
        <is>
          <t>Te frutas del bosque</t>
        </is>
      </c>
      <c r="E27" s="10" t="inlineStr">
        <is>
          <t>Huevos revueltos</t>
        </is>
      </c>
      <c r="G27" s="9" t="inlineStr">
        <is>
          <t>Cafe con leche descafeinado</t>
        </is>
      </c>
      <c r="H27" s="9" t="inlineStr">
        <is>
          <t>Campari</t>
        </is>
      </c>
    </row>
    <row r="28">
      <c r="A28" s="9" t="inlineStr">
        <is>
          <t>Te negro</t>
        </is>
      </c>
      <c r="B28" s="9" t="inlineStr">
        <is>
          <t>Kiwi</t>
        </is>
      </c>
      <c r="C28" t="inlineStr">
        <is>
          <t>Te negro</t>
        </is>
      </c>
      <c r="E28" t="inlineStr">
        <is>
          <t>Kiwi</t>
        </is>
      </c>
      <c r="G28" s="9" t="inlineStr">
        <is>
          <t>Cafe con leche semi</t>
        </is>
      </c>
      <c r="H28" s="9" t="inlineStr">
        <is>
          <t>Caña NAO Marinera</t>
        </is>
      </c>
    </row>
    <row r="29">
      <c r="A29" s="9" t="inlineStr">
        <is>
          <t>Te rojo</t>
        </is>
      </c>
      <c r="B29" s="9" t="inlineStr">
        <is>
          <t>Papaya</t>
        </is>
      </c>
      <c r="C29" t="inlineStr">
        <is>
          <t>Te rojo</t>
        </is>
      </c>
      <c r="E29" t="inlineStr">
        <is>
          <t>Papaya</t>
        </is>
      </c>
      <c r="G29" s="9" t="inlineStr">
        <is>
          <t>Cafe irlandes</t>
        </is>
      </c>
      <c r="H29" s="9" t="inlineStr">
        <is>
          <t>Capuchino</t>
        </is>
      </c>
    </row>
    <row r="30">
      <c r="A30" s="9" t="inlineStr">
        <is>
          <t>Te verde</t>
        </is>
      </c>
      <c r="B30" s="9" t="inlineStr">
        <is>
          <t>Melon</t>
        </is>
      </c>
      <c r="C30" t="inlineStr">
        <is>
          <t>Te verde</t>
        </is>
      </c>
      <c r="E30" t="inlineStr">
        <is>
          <t>Melon</t>
        </is>
      </c>
      <c r="G30" s="9" t="inlineStr">
        <is>
          <t>Caipirinha</t>
        </is>
      </c>
      <c r="H30" s="9" t="inlineStr">
        <is>
          <t>Capuchino semi</t>
        </is>
      </c>
    </row>
    <row r="31">
      <c r="A31" s="9" t="inlineStr">
        <is>
          <t>Tortilla</t>
        </is>
      </c>
      <c r="B31" s="9" t="inlineStr">
        <is>
          <t>Sandia</t>
        </is>
      </c>
      <c r="C31" t="inlineStr">
        <is>
          <t>Tortilla</t>
        </is>
      </c>
      <c r="E31" t="inlineStr">
        <is>
          <t>Sandia</t>
        </is>
      </c>
      <c r="G31" s="9" t="inlineStr">
        <is>
          <t>Calamares a la romana</t>
        </is>
      </c>
      <c r="H31" s="9" t="inlineStr">
        <is>
          <t>Carlos I</t>
        </is>
      </c>
    </row>
    <row r="32">
      <c r="A32" s="9" t="inlineStr">
        <is>
          <t>Tostada champinones</t>
        </is>
      </c>
      <c r="B32" s="9" t="inlineStr">
        <is>
          <t>Pomelo</t>
        </is>
      </c>
      <c r="C32" t="inlineStr">
        <is>
          <t>Tostada champinones</t>
        </is>
      </c>
      <c r="E32" t="inlineStr">
        <is>
          <t>Pomelo</t>
        </is>
      </c>
      <c r="G32" s="9" t="inlineStr">
        <is>
          <t>Campari</t>
        </is>
      </c>
      <c r="H32" s="9" t="inlineStr">
        <is>
          <t>Cola Cao</t>
        </is>
      </c>
    </row>
    <row r="33">
      <c r="A33" s="9" t="inlineStr">
        <is>
          <t>Tostada del dia</t>
        </is>
      </c>
      <c r="B33" s="9" t="inlineStr">
        <is>
          <t>Naranja</t>
        </is>
      </c>
      <c r="C33" t="inlineStr">
        <is>
          <t>Tostada del dia</t>
        </is>
      </c>
      <c r="E33" t="inlineStr">
        <is>
          <t>Naranja</t>
        </is>
      </c>
      <c r="G33" s="9" t="inlineStr">
        <is>
          <t>Caña NAO Marinera</t>
        </is>
      </c>
      <c r="H33" s="9" t="inlineStr">
        <is>
          <t>Cola Cao semi</t>
        </is>
      </c>
    </row>
    <row r="34">
      <c r="A34" s="9" t="inlineStr">
        <is>
          <t>Tostada domingo</t>
        </is>
      </c>
      <c r="B34" s="9" t="inlineStr">
        <is>
          <t>Platano</t>
        </is>
      </c>
      <c r="C34" t="inlineStr">
        <is>
          <t>Tostada domingo</t>
        </is>
      </c>
      <c r="E34" t="inlineStr">
        <is>
          <t>Platano</t>
        </is>
      </c>
      <c r="G34" s="9" t="inlineStr">
        <is>
          <t>Capuchino</t>
        </is>
      </c>
      <c r="H34" s="9" t="inlineStr">
        <is>
          <t>Copa de sangria</t>
        </is>
      </c>
    </row>
    <row r="35">
      <c r="A35" s="9" t="inlineStr">
        <is>
          <t>Tostada francesa</t>
        </is>
      </c>
      <c r="B35" s="9" t="inlineStr">
        <is>
          <t>Pina</t>
        </is>
      </c>
      <c r="C35" t="inlineStr">
        <is>
          <t>Tostada francesa</t>
        </is>
      </c>
      <c r="E35" t="inlineStr">
        <is>
          <t>Pina</t>
        </is>
      </c>
      <c r="G35" s="9" t="inlineStr">
        <is>
          <t>Capuchino semi</t>
        </is>
      </c>
      <c r="H35" s="9" t="inlineStr">
        <is>
          <t>Copa El Grifo</t>
        </is>
      </c>
    </row>
    <row r="36">
      <c r="A36" s="9" t="inlineStr">
        <is>
          <t>Tostada jueves</t>
        </is>
      </c>
      <c r="B36" s="9" t="inlineStr">
        <is>
          <t>Melocoton almibar</t>
        </is>
      </c>
      <c r="C36" t="inlineStr">
        <is>
          <t>Tostada jueves</t>
        </is>
      </c>
      <c r="E36" t="inlineStr">
        <is>
          <t>Melocoton almibar</t>
        </is>
      </c>
      <c r="G36" s="9" t="inlineStr">
        <is>
          <t>Carlos I</t>
        </is>
      </c>
      <c r="H36" s="9" t="inlineStr">
        <is>
          <t>Copa Montecillo Blanco</t>
        </is>
      </c>
    </row>
    <row r="37">
      <c r="A37" s="9" t="inlineStr">
        <is>
          <t>Tostada lunes</t>
        </is>
      </c>
      <c r="B37" s="9" t="inlineStr">
        <is>
          <t>Paleta iberica</t>
        </is>
      </c>
      <c r="C37" t="inlineStr">
        <is>
          <t>Tostada lunes</t>
        </is>
      </c>
      <c r="E37" t="inlineStr">
        <is>
          <t>Paleta iberica</t>
        </is>
      </c>
      <c r="G37" s="9" t="inlineStr">
        <is>
          <t>Cocktail de gambas</t>
        </is>
      </c>
      <c r="H37" s="9" t="inlineStr">
        <is>
          <t>Copa Montecillo Crianza</t>
        </is>
      </c>
    </row>
    <row r="38">
      <c r="A38" s="9" t="inlineStr">
        <is>
          <t>Tostada martes</t>
        </is>
      </c>
      <c r="B38" s="9" t="inlineStr">
        <is>
          <t>Mortadela</t>
        </is>
      </c>
      <c r="C38" t="inlineStr">
        <is>
          <t>Tostada martes</t>
        </is>
      </c>
      <c r="E38" t="inlineStr">
        <is>
          <t>Mortadela</t>
        </is>
      </c>
      <c r="G38" s="9" t="inlineStr">
        <is>
          <t>Cola Cao</t>
        </is>
      </c>
      <c r="H38" s="9" t="inlineStr">
        <is>
          <t>Copa Montecillo Rosado</t>
        </is>
      </c>
    </row>
    <row r="39">
      <c r="A39" s="9" t="inlineStr">
        <is>
          <t>Tostada miercoles</t>
        </is>
      </c>
      <c r="B39" s="9" t="inlineStr">
        <is>
          <t>Salchichon iberico</t>
        </is>
      </c>
      <c r="C39" t="inlineStr">
        <is>
          <t>Tostada miercoles</t>
        </is>
      </c>
      <c r="E39" t="inlineStr">
        <is>
          <t>Salchichon iberico</t>
        </is>
      </c>
      <c r="G39" s="9" t="inlineStr">
        <is>
          <t>Cola Cao semi</t>
        </is>
      </c>
      <c r="H39" s="9" t="inlineStr">
        <is>
          <t>Cortado</t>
        </is>
      </c>
    </row>
    <row r="40">
      <c r="A40" s="9" t="inlineStr">
        <is>
          <t>Tostada sabado</t>
        </is>
      </c>
      <c r="B40" s="9" t="inlineStr">
        <is>
          <t>Queso gofio</t>
        </is>
      </c>
      <c r="C40" t="inlineStr">
        <is>
          <t>Tostada sabado</t>
        </is>
      </c>
      <c r="E40" t="inlineStr">
        <is>
          <t>Queso gofio</t>
        </is>
      </c>
      <c r="G40" s="9" t="inlineStr">
        <is>
          <t>Copa de sangria</t>
        </is>
      </c>
      <c r="H40" s="9" t="inlineStr">
        <is>
          <t>Cortado semi</t>
        </is>
      </c>
    </row>
    <row r="41">
      <c r="A41" s="9" t="inlineStr">
        <is>
          <t>Tostada viernes</t>
        </is>
      </c>
      <c r="B41" s="9" t="inlineStr">
        <is>
          <t>Queso pimenton</t>
        </is>
      </c>
      <c r="C41" t="inlineStr">
        <is>
          <t>Tostada viernes</t>
        </is>
      </c>
      <c r="E41" t="inlineStr">
        <is>
          <t>Queso pimenton</t>
        </is>
      </c>
      <c r="G41" s="9" t="inlineStr">
        <is>
          <t>Copa El Grifo</t>
        </is>
      </c>
      <c r="H41" s="9" t="inlineStr">
        <is>
          <t>Cubitazo Estrella Galicia</t>
        </is>
      </c>
    </row>
    <row r="42">
      <c r="B42" s="9" t="inlineStr">
        <is>
          <t>Queso fresco</t>
        </is>
      </c>
      <c r="C42" t="inlineStr">
        <is>
          <t>Queso cheddar</t>
        </is>
      </c>
      <c r="E42" t="inlineStr">
        <is>
          <t>Queso fresco</t>
        </is>
      </c>
      <c r="G42" s="9" t="inlineStr">
        <is>
          <t>Copa Montecillo Blanco</t>
        </is>
      </c>
      <c r="H42" s="9" t="inlineStr">
        <is>
          <t>Daiquiri</t>
        </is>
      </c>
    </row>
    <row r="43">
      <c r="B43" s="9" t="inlineStr">
        <is>
          <t>Pan gallego</t>
        </is>
      </c>
      <c r="C43" t="inlineStr">
        <is>
          <t>Queso gouda</t>
        </is>
      </c>
      <c r="E43" t="inlineStr">
        <is>
          <t>Pan gallego</t>
        </is>
      </c>
      <c r="G43" s="9" t="inlineStr">
        <is>
          <t>Copa Montecillo Crianza</t>
        </is>
      </c>
      <c r="H43" s="9" t="inlineStr">
        <is>
          <t>Espresso</t>
        </is>
      </c>
    </row>
    <row r="44">
      <c r="B44" s="9" t="inlineStr">
        <is>
          <t>Pan maiz</t>
        </is>
      </c>
      <c r="C44" t="inlineStr">
        <is>
          <t>Bacon</t>
        </is>
      </c>
      <c r="E44" t="inlineStr">
        <is>
          <t>Pan maiz</t>
        </is>
      </c>
      <c r="G44" s="9" t="inlineStr">
        <is>
          <t>Copa Montecillo Rosado</t>
        </is>
      </c>
      <c r="H44" s="9" t="inlineStr">
        <is>
          <t>Espresso descafeinado</t>
        </is>
      </c>
    </row>
    <row r="45">
      <c r="B45" s="9" t="inlineStr">
        <is>
          <t>Pan centeno</t>
        </is>
      </c>
      <c r="C45" t="inlineStr">
        <is>
          <t>Jamon cocido</t>
        </is>
      </c>
      <c r="E45" t="inlineStr">
        <is>
          <t>Pan centeno</t>
        </is>
      </c>
      <c r="G45" s="9" t="inlineStr">
        <is>
          <t>Cortado</t>
        </is>
      </c>
      <c r="H45" s="9" t="inlineStr">
        <is>
          <t>Espresso Martini</t>
        </is>
      </c>
    </row>
    <row r="46">
      <c r="B46" s="9" t="inlineStr">
        <is>
          <t>Baguettina</t>
        </is>
      </c>
      <c r="C46" t="inlineStr">
        <is>
          <t>Tostada</t>
        </is>
      </c>
      <c r="E46" t="inlineStr">
        <is>
          <t>Baguettina</t>
        </is>
      </c>
      <c r="G46" s="9" t="inlineStr">
        <is>
          <t>Cortado semi</t>
        </is>
      </c>
      <c r="H46" s="9" t="inlineStr">
        <is>
          <t>Gordon's</t>
        </is>
      </c>
    </row>
    <row r="47">
      <c r="B47" s="9" t="inlineStr">
        <is>
          <t>Napolitana cacao</t>
        </is>
      </c>
      <c r="C47" t="inlineStr">
        <is>
          <t>Tostada integral</t>
        </is>
      </c>
      <c r="E47" t="inlineStr">
        <is>
          <t>Napolitana cacao</t>
        </is>
      </c>
      <c r="G47" s="9" t="inlineStr">
        <is>
          <t>Croquetas jamon serrano</t>
        </is>
      </c>
      <c r="H47" s="9" t="inlineStr">
        <is>
          <t>Grey Goose</t>
        </is>
      </c>
    </row>
    <row r="48">
      <c r="B48" s="9" t="inlineStr">
        <is>
          <t>Chic crema</t>
        </is>
      </c>
      <c r="C48" t="inlineStr">
        <is>
          <t>Pan blanco</t>
        </is>
      </c>
      <c r="E48" t="inlineStr">
        <is>
          <t>Chic crema</t>
        </is>
      </c>
      <c r="G48" s="9" t="inlineStr">
        <is>
          <t>Cubitazo Estrella Galicia</t>
        </is>
      </c>
      <c r="H48" s="9" t="inlineStr">
        <is>
          <t>Jack Daniel's</t>
        </is>
      </c>
    </row>
    <row r="49">
      <c r="B49" s="9" t="inlineStr">
        <is>
          <t>Lazo cereal</t>
        </is>
      </c>
      <c r="C49" t="inlineStr">
        <is>
          <t>Pan integral</t>
        </is>
      </c>
      <c r="E49" t="inlineStr">
        <is>
          <t>Lazo cereal</t>
        </is>
      </c>
      <c r="G49" s="9" t="inlineStr">
        <is>
          <t>Daiquiri</t>
        </is>
      </c>
      <c r="H49" s="9" t="inlineStr">
        <is>
          <t>Jagermeister</t>
        </is>
      </c>
    </row>
    <row r="50">
      <c r="B50" s="9" t="inlineStr">
        <is>
          <t>Croissant mantequilla</t>
        </is>
      </c>
      <c r="C50" t="inlineStr">
        <is>
          <t>Tostada sin gluten</t>
        </is>
      </c>
      <c r="E50" t="inlineStr">
        <is>
          <t>Croissant mantequilla</t>
        </is>
      </c>
      <c r="G50" s="9" t="inlineStr">
        <is>
          <t>Ensalada aguacate tomate y jamon</t>
        </is>
      </c>
      <c r="H50" s="9" t="inlineStr">
        <is>
          <t>Jarra NAO Marinera</t>
        </is>
      </c>
    </row>
    <row r="51">
      <c r="B51" s="9" t="inlineStr">
        <is>
          <t>Croissant chocolate</t>
        </is>
      </c>
      <c r="C51" t="inlineStr">
        <is>
          <t>Pan sin gluten</t>
        </is>
      </c>
      <c r="E51" t="inlineStr">
        <is>
          <t>Croissant chocolate</t>
        </is>
      </c>
      <c r="G51" s="9" t="inlineStr">
        <is>
          <t>Ensalada cesar</t>
        </is>
      </c>
      <c r="H51" s="9" t="inlineStr">
        <is>
          <t>Johnnie Walker</t>
        </is>
      </c>
    </row>
    <row r="52">
      <c r="B52" s="9" t="inlineStr">
        <is>
          <t>Surtido reposteria</t>
        </is>
      </c>
      <c r="C52" t="inlineStr">
        <is>
          <t>Salchicha</t>
        </is>
      </c>
      <c r="E52" t="inlineStr">
        <is>
          <t>Surtido reposteria</t>
        </is>
      </c>
      <c r="G52" s="9" t="inlineStr">
        <is>
          <t>Ensalada queso de cabra y fresa</t>
        </is>
      </c>
      <c r="H52" s="9" t="inlineStr">
        <is>
          <t>Magno</t>
        </is>
      </c>
    </row>
    <row r="53">
      <c r="B53" s="9" t="inlineStr">
        <is>
          <t>Leche entera</t>
        </is>
      </c>
      <c r="C53" t="inlineStr">
        <is>
          <t>Hashbrown</t>
        </is>
      </c>
      <c r="E53" t="inlineStr">
        <is>
          <t>Leche entera</t>
        </is>
      </c>
      <c r="G53" s="9" t="inlineStr">
        <is>
          <t>Espresso</t>
        </is>
      </c>
      <c r="H53" s="9" t="inlineStr">
        <is>
          <t>Manzanilla</t>
        </is>
      </c>
    </row>
    <row r="54">
      <c r="B54" s="9" t="inlineStr">
        <is>
          <t>Leche semi</t>
        </is>
      </c>
      <c r="C54" t="inlineStr">
        <is>
          <t>Champi</t>
        </is>
      </c>
      <c r="E54" t="inlineStr">
        <is>
          <t>Leche semi</t>
        </is>
      </c>
      <c r="G54" s="9" t="inlineStr">
        <is>
          <t>Espresso descafeinado</t>
        </is>
      </c>
      <c r="H54" s="9" t="inlineStr">
        <is>
          <t>Margarita</t>
        </is>
      </c>
    </row>
    <row r="55">
      <c r="B55" s="9" t="inlineStr">
        <is>
          <t>Leche de avena</t>
        </is>
      </c>
      <c r="C55" t="inlineStr">
        <is>
          <t>Aguacate</t>
        </is>
      </c>
      <c r="E55" t="inlineStr">
        <is>
          <t>Leche de avena</t>
        </is>
      </c>
      <c r="G55" s="9" t="inlineStr">
        <is>
          <t>Espresso Martini</t>
        </is>
      </c>
      <c r="H55" s="9" t="inlineStr">
        <is>
          <t>Martin Miller's</t>
        </is>
      </c>
    </row>
    <row r="56">
      <c r="B56" s="9" t="inlineStr">
        <is>
          <t>Leche de soja</t>
        </is>
      </c>
      <c r="C56" t="inlineStr">
        <is>
          <t>Salmon</t>
        </is>
      </c>
      <c r="E56" t="inlineStr">
        <is>
          <t>Leche de soja</t>
        </is>
      </c>
      <c r="G56" s="9" t="inlineStr">
        <is>
          <t>Fruta en almibar</t>
        </is>
      </c>
      <c r="H56" s="9" t="inlineStr">
        <is>
          <t>Martini Bianco</t>
        </is>
      </c>
    </row>
    <row r="57">
      <c r="B57" s="9" t="inlineStr">
        <is>
          <t>Leche de almendras</t>
        </is>
      </c>
      <c r="C57" t="inlineStr">
        <is>
          <t>Tomate</t>
        </is>
      </c>
      <c r="E57" t="inlineStr">
        <is>
          <t>Leche de almendras</t>
        </is>
      </c>
      <c r="G57" s="9" t="inlineStr">
        <is>
          <t>Gambas al ajillo</t>
        </is>
      </c>
      <c r="H57" s="9" t="inlineStr">
        <is>
          <t>Martini Dry</t>
        </is>
      </c>
    </row>
    <row r="58">
      <c r="C58" t="inlineStr">
        <is>
          <t>Cebolla</t>
        </is>
      </c>
      <c r="E58" s="10" t="inlineStr">
        <is>
          <t>Sin huevo</t>
        </is>
      </c>
      <c r="G58" s="9" t="inlineStr">
        <is>
          <t>Gordon's</t>
        </is>
      </c>
      <c r="H58" s="9" t="inlineStr">
        <is>
          <t>Martini Rosso</t>
        </is>
      </c>
    </row>
    <row r="59">
      <c r="C59" t="inlineStr">
        <is>
          <t>Alubias</t>
        </is>
      </c>
      <c r="E59" s="11" t="inlineStr">
        <is>
          <t>Sin tostada</t>
        </is>
      </c>
      <c r="G59" s="9" t="inlineStr">
        <is>
          <t>Grey Goose</t>
        </is>
      </c>
      <c r="H59" s="9" t="inlineStr">
        <is>
          <t>Mojito</t>
        </is>
      </c>
    </row>
    <row r="60">
      <c r="C60" t="inlineStr">
        <is>
          <t>Pimiento</t>
        </is>
      </c>
      <c r="G60" s="9" t="inlineStr">
        <is>
          <t>Hamburguesa</t>
        </is>
      </c>
      <c r="H60" s="9" t="inlineStr">
        <is>
          <t>Nordes</t>
        </is>
      </c>
    </row>
    <row r="61">
      <c r="C61" t="inlineStr">
        <is>
          <t>Espinacas</t>
        </is>
      </c>
      <c r="G61" s="9" t="inlineStr">
        <is>
          <t>Jack Daniel's</t>
        </is>
      </c>
      <c r="H61" s="9" t="inlineStr">
        <is>
          <t>Piña Colada</t>
        </is>
      </c>
    </row>
    <row r="62">
      <c r="C62" t="inlineStr">
        <is>
          <t>Tomate cherry</t>
        </is>
      </c>
      <c r="G62" s="9" t="inlineStr">
        <is>
          <t>Jagermeister</t>
        </is>
      </c>
      <c r="H62" s="9" t="inlineStr">
        <is>
          <t>Ron Miel</t>
        </is>
      </c>
    </row>
    <row r="63">
      <c r="C63" t="inlineStr">
        <is>
          <t>Chorizo</t>
        </is>
      </c>
      <c r="G63" s="9" t="inlineStr">
        <is>
          <t>Jarra NAO Marinera</t>
        </is>
      </c>
      <c r="H63" s="9" t="inlineStr">
        <is>
          <t>Royal Marina</t>
        </is>
      </c>
    </row>
    <row r="64">
      <c r="C64" t="inlineStr">
        <is>
          <t>Kiwi</t>
        </is>
      </c>
      <c r="G64" s="9" t="inlineStr">
        <is>
          <t>Johnnie Walker</t>
        </is>
      </c>
      <c r="H64" s="9" t="inlineStr">
        <is>
          <t>Sambuca</t>
        </is>
      </c>
    </row>
    <row r="65">
      <c r="C65" t="inlineStr">
        <is>
          <t>Papaya</t>
        </is>
      </c>
      <c r="G65" s="9" t="inlineStr">
        <is>
          <t>Langostinos crujientes</t>
        </is>
      </c>
      <c r="H65" s="9" t="inlineStr">
        <is>
          <t>Sangria 1L</t>
        </is>
      </c>
    </row>
    <row r="66">
      <c r="C66" t="inlineStr">
        <is>
          <t>Melon</t>
        </is>
      </c>
      <c r="G66" s="9" t="inlineStr">
        <is>
          <t>Magno</t>
        </is>
      </c>
      <c r="H66" s="9" t="inlineStr">
        <is>
          <t>Sangria de cava 1L</t>
        </is>
      </c>
    </row>
    <row r="67">
      <c r="C67" t="inlineStr">
        <is>
          <t>Sandia</t>
        </is>
      </c>
      <c r="G67" s="9" t="inlineStr">
        <is>
          <t>Manzanilla</t>
        </is>
      </c>
      <c r="H67" s="9" t="inlineStr">
        <is>
          <t>Seleccion de te</t>
        </is>
      </c>
    </row>
    <row r="68">
      <c r="C68" t="inlineStr">
        <is>
          <t>Pomelo</t>
        </is>
      </c>
      <c r="G68" s="9" t="inlineStr">
        <is>
          <t>Margarita</t>
        </is>
      </c>
      <c r="H68" s="9" t="inlineStr">
        <is>
          <t>Sex on the Beach</t>
        </is>
      </c>
    </row>
    <row r="69">
      <c r="C69" t="inlineStr">
        <is>
          <t>Naranja</t>
        </is>
      </c>
      <c r="G69" s="9" t="inlineStr">
        <is>
          <t>Martin Miller's</t>
        </is>
      </c>
      <c r="H69" s="9" t="inlineStr">
        <is>
          <t>Smirnoff</t>
        </is>
      </c>
    </row>
    <row r="70">
      <c r="C70" t="inlineStr">
        <is>
          <t>Platano</t>
        </is>
      </c>
      <c r="G70" s="9" t="inlineStr">
        <is>
          <t>Martini Bianco</t>
        </is>
      </c>
      <c r="H70" s="9" t="inlineStr">
        <is>
          <t>solomillo</t>
        </is>
      </c>
    </row>
    <row r="71">
      <c r="C71" t="inlineStr">
        <is>
          <t>Pina</t>
        </is>
      </c>
      <c r="G71" s="9" t="inlineStr">
        <is>
          <t>Martini Dry</t>
        </is>
      </c>
      <c r="H71" s="9" t="inlineStr">
        <is>
          <t>Tanqueray</t>
        </is>
      </c>
    </row>
    <row r="72">
      <c r="C72" t="inlineStr">
        <is>
          <t>Melocoton almibar</t>
        </is>
      </c>
      <c r="G72" s="9" t="inlineStr">
        <is>
          <t>Martini Rosso</t>
        </is>
      </c>
      <c r="H72" s="9" t="inlineStr">
        <is>
          <t>Te frutas del bosque</t>
        </is>
      </c>
    </row>
    <row r="73">
      <c r="C73" t="inlineStr">
        <is>
          <t>Paleta iberica</t>
        </is>
      </c>
      <c r="G73" s="9" t="inlineStr">
        <is>
          <t>Mojito</t>
        </is>
      </c>
      <c r="H73" s="9" t="inlineStr">
        <is>
          <t>Te negro</t>
        </is>
      </c>
    </row>
    <row r="74">
      <c r="C74" t="inlineStr">
        <is>
          <t>Mortadela</t>
        </is>
      </c>
      <c r="G74" s="9" t="inlineStr">
        <is>
          <t>Nachos con guacamole</t>
        </is>
      </c>
      <c r="H74" s="9" t="inlineStr">
        <is>
          <t>Te rojo</t>
        </is>
      </c>
    </row>
    <row r="75">
      <c r="C75" t="inlineStr">
        <is>
          <t>Salchichon iberico</t>
        </is>
      </c>
      <c r="G75" s="9" t="inlineStr">
        <is>
          <t>Nordes</t>
        </is>
      </c>
      <c r="H75" s="9" t="inlineStr">
        <is>
          <t>Te verde</t>
        </is>
      </c>
    </row>
    <row r="76">
      <c r="C76" t="inlineStr">
        <is>
          <t>Queso gofio</t>
        </is>
      </c>
      <c r="G76" s="9" t="inlineStr">
        <is>
          <t>Pan bao</t>
        </is>
      </c>
      <c r="H76" s="9" t="inlineStr">
        <is>
          <t>Tequila Gold</t>
        </is>
      </c>
    </row>
    <row r="77">
      <c r="C77" t="inlineStr">
        <is>
          <t>Queso pimenton</t>
        </is>
      </c>
      <c r="G77" s="9" t="inlineStr">
        <is>
          <t>Papas arrugadas</t>
        </is>
      </c>
      <c r="H77" s="9" t="inlineStr">
        <is>
          <t>Tia Maria</t>
        </is>
      </c>
    </row>
    <row r="78">
      <c r="C78" t="inlineStr">
        <is>
          <t>Queso fresco</t>
        </is>
      </c>
      <c r="G78" s="9" t="inlineStr">
        <is>
          <t>Paquete de pan</t>
        </is>
      </c>
    </row>
    <row r="79">
      <c r="C79" t="inlineStr">
        <is>
          <t>Pan gallego</t>
        </is>
      </c>
      <c r="G79" s="9" t="inlineStr">
        <is>
          <t>Patatas fritas</t>
        </is>
      </c>
    </row>
    <row r="80">
      <c r="C80" t="inlineStr">
        <is>
          <t>Pan maiz</t>
        </is>
      </c>
      <c r="G80" s="9" t="inlineStr">
        <is>
          <t>Piña Colada</t>
        </is>
      </c>
    </row>
    <row r="81">
      <c r="C81" t="inlineStr">
        <is>
          <t>Pan centeno</t>
        </is>
      </c>
      <c r="G81" s="9" t="inlineStr">
        <is>
          <t>Plato embutido</t>
        </is>
      </c>
    </row>
    <row r="82">
      <c r="C82" t="inlineStr">
        <is>
          <t>Baguettina</t>
        </is>
      </c>
      <c r="G82" s="9" t="inlineStr">
        <is>
          <t>Plato pequeno de fruta</t>
        </is>
      </c>
    </row>
    <row r="83">
      <c r="C83" t="inlineStr">
        <is>
          <t>Napolitana cacao</t>
        </is>
      </c>
      <c r="G83" s="9" t="inlineStr">
        <is>
          <t>Poke bowl</t>
        </is>
      </c>
    </row>
    <row r="84">
      <c r="C84" t="inlineStr">
        <is>
          <t>Chic crema</t>
        </is>
      </c>
      <c r="G84" s="9" t="inlineStr">
        <is>
          <t>Ron Miel</t>
        </is>
      </c>
    </row>
    <row r="85">
      <c r="C85" t="inlineStr">
        <is>
          <t>Lazo cereal</t>
        </is>
      </c>
      <c r="G85" s="9" t="inlineStr">
        <is>
          <t>Royal Marina</t>
        </is>
      </c>
    </row>
    <row r="86">
      <c r="C86" t="inlineStr">
        <is>
          <t>Croissant mantequilla</t>
        </is>
      </c>
      <c r="G86" s="9" t="inlineStr">
        <is>
          <t>Sambuca</t>
        </is>
      </c>
    </row>
    <row r="87">
      <c r="C87" t="inlineStr">
        <is>
          <t>Croissant chocolate</t>
        </is>
      </c>
      <c r="G87" s="9" t="inlineStr">
        <is>
          <t>Sandwich club</t>
        </is>
      </c>
    </row>
    <row r="88">
      <c r="C88" t="inlineStr">
        <is>
          <t>Surtido reposteria</t>
        </is>
      </c>
      <c r="G88" s="9" t="inlineStr">
        <is>
          <t>Sangria 1L</t>
        </is>
      </c>
    </row>
    <row r="89">
      <c r="C89" t="inlineStr">
        <is>
          <t>Leche entera</t>
        </is>
      </c>
      <c r="G89" s="9" t="inlineStr">
        <is>
          <t>Sangria de cava 1L</t>
        </is>
      </c>
    </row>
    <row r="90">
      <c r="C90" t="inlineStr">
        <is>
          <t>Leche semi</t>
        </is>
      </c>
      <c r="G90" s="9" t="inlineStr">
        <is>
          <t>Seleccion de te</t>
        </is>
      </c>
    </row>
    <row r="91">
      <c r="C91" t="inlineStr">
        <is>
          <t>Leche de avena</t>
        </is>
      </c>
      <c r="G91" s="9" t="inlineStr">
        <is>
          <t>Sex on the Beach</t>
        </is>
      </c>
    </row>
    <row r="92">
      <c r="C92" t="inlineStr">
        <is>
          <t>Leche de soja</t>
        </is>
      </c>
      <c r="G92" s="9" t="inlineStr">
        <is>
          <t>Smirnoff</t>
        </is>
      </c>
    </row>
    <row r="93">
      <c r="C93" t="inlineStr">
        <is>
          <t>Leche de almendras</t>
        </is>
      </c>
      <c r="G93" s="9" t="inlineStr">
        <is>
          <t>Tanqueray</t>
        </is>
      </c>
    </row>
    <row r="94">
      <c r="G94" s="9" t="inlineStr">
        <is>
          <t>Tarta de queso con helado</t>
        </is>
      </c>
    </row>
    <row r="95">
      <c r="G95" s="9" t="inlineStr">
        <is>
          <t>Tartar salmon con aguacate</t>
        </is>
      </c>
    </row>
    <row r="96">
      <c r="G96" s="9" t="inlineStr">
        <is>
          <t>Te frutas del bosque</t>
        </is>
      </c>
    </row>
    <row r="97">
      <c r="G97" s="9" t="inlineStr">
        <is>
          <t>Te negro</t>
        </is>
      </c>
    </row>
    <row r="98">
      <c r="G98" s="9" t="inlineStr">
        <is>
          <t>Te rojo</t>
        </is>
      </c>
    </row>
    <row r="99">
      <c r="G99" s="9" t="inlineStr">
        <is>
          <t>Te verde</t>
        </is>
      </c>
    </row>
    <row r="100">
      <c r="G100" s="9" t="inlineStr">
        <is>
          <t>Tequila Gold</t>
        </is>
      </c>
    </row>
    <row r="101">
      <c r="G101" s="9" t="inlineStr">
        <is>
          <t>Tia Maria</t>
        </is>
      </c>
    </row>
    <row r="102">
      <c r="G102" s="9" t="inlineStr">
        <is>
          <t>Tiramisu</t>
        </is>
      </c>
    </row>
    <row r="103">
      <c r="G103" s="9" t="inlineStr">
        <is>
          <t>Verduras a la parrilla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</cols>
  <sheetData>
    <row r="1">
      <c r="A1" s="8" t="inlineStr">
        <is>
          <t>producto_id</t>
        </is>
      </c>
      <c r="B1" s="8" t="inlineStr">
        <is>
          <t>nombre</t>
        </is>
      </c>
      <c r="C1" s="8" t="inlineStr">
        <is>
          <t>coste_ud</t>
        </is>
      </c>
    </row>
    <row r="2">
      <c r="A2" t="inlineStr">
        <is>
          <t>p1</t>
        </is>
      </c>
      <c r="B2" t="inlineStr">
        <is>
          <t>Harina</t>
        </is>
      </c>
      <c r="C2" t="n">
        <v>1</v>
      </c>
    </row>
    <row r="3">
      <c r="A3" t="inlineStr">
        <is>
          <t>p2</t>
        </is>
      </c>
      <c r="B3" t="inlineStr">
        <is>
          <t>Huevo</t>
        </is>
      </c>
      <c r="C3" t="n">
        <v>0.1</v>
      </c>
    </row>
    <row r="4">
      <c r="A4" t="inlineStr">
        <is>
          <t>b01</t>
        </is>
      </c>
      <c r="B4" t="inlineStr">
        <is>
          <t>CROISSANT MINI CHOCOLATE CREMOSO 198UD 31G</t>
        </is>
      </c>
      <c r="C4" t="n">
        <v>0.3</v>
      </c>
    </row>
    <row r="5">
      <c r="A5" t="inlineStr">
        <is>
          <t>p03</t>
        </is>
      </c>
      <c r="B5" t="inlineStr">
        <is>
          <t>ARTIS MINI CHAPATA 40GRS 160UD</t>
        </is>
      </c>
      <c r="C5" t="n">
        <v>0</v>
      </c>
    </row>
    <row r="6">
      <c r="A6" t="inlineStr">
        <is>
          <t>p04</t>
        </is>
      </c>
      <c r="B6" t="inlineStr">
        <is>
          <t>PANECILLO S/GLUTEN BETINA 55GRS 45 UND</t>
        </is>
      </c>
      <c r="C6" t="n">
        <v>1.53</v>
      </c>
    </row>
    <row r="7">
      <c r="A7" t="inlineStr">
        <is>
          <t>p05</t>
        </is>
      </c>
      <c r="B7" t="inlineStr">
        <is>
          <t>PAN GALLEGO BARRA 280GR 20 UND</t>
        </is>
      </c>
      <c r="C7" t="n">
        <v>1.34</v>
      </c>
    </row>
    <row r="8">
      <c r="A8" t="inlineStr">
        <is>
          <t>p06</t>
        </is>
      </c>
      <c r="B8" t="inlineStr">
        <is>
          <t>PAN PIPAS CALABAZA 750GRS 12UDN</t>
        </is>
      </c>
      <c r="C8" t="n">
        <v>3.87</v>
      </c>
    </row>
    <row r="9">
      <c r="A9" t="inlineStr">
        <is>
          <t>p07</t>
        </is>
      </c>
      <c r="B9" t="inlineStr">
        <is>
          <t>SMOOTHIE B6 PITA-MANG-FRESA</t>
        </is>
      </c>
      <c r="C9" t="n">
        <v>1.14</v>
      </c>
    </row>
    <row r="10">
      <c r="A10" t="inlineStr">
        <is>
          <t>p08</t>
        </is>
      </c>
      <c r="B10" t="inlineStr">
        <is>
          <t>SURTIDO DE REPOSTERIA</t>
        </is>
      </c>
      <c r="C10" t="n">
        <v>0.64</v>
      </c>
    </row>
    <row r="11">
      <c r="A11" t="inlineStr">
        <is>
          <t>p09</t>
        </is>
      </c>
      <c r="B11" t="inlineStr">
        <is>
          <t>MOLDE COMUN S/C 800GRS</t>
        </is>
      </c>
      <c r="C11" t="n">
        <v>2.89</v>
      </c>
    </row>
    <row r="12">
      <c r="A12" t="inlineStr">
        <is>
          <t>p10</t>
        </is>
      </c>
      <c r="B12" t="inlineStr">
        <is>
          <t>HAMBURGUESA RUSTICA 60 GRS</t>
        </is>
      </c>
      <c r="C12" t="n">
        <v>2.85</v>
      </c>
    </row>
    <row r="13">
      <c r="A13" t="inlineStr">
        <is>
          <t>p11</t>
        </is>
      </c>
      <c r="B13" t="inlineStr">
        <is>
          <t>MOLDE INTEGRAL S/C 1000 GRS</t>
        </is>
      </c>
      <c r="C13" t="n">
        <v>3.04</v>
      </c>
    </row>
    <row r="14">
      <c r="A14" t="inlineStr">
        <is>
          <t>p12</t>
        </is>
      </c>
      <c r="B14" t="inlineStr">
        <is>
          <t>PAPA BRAVA EUROFRIT 4X2,5</t>
        </is>
      </c>
      <c r="C14" t="n">
        <v>0</v>
      </c>
    </row>
    <row r="15">
      <c r="A15" t="inlineStr">
        <is>
          <t>p13</t>
        </is>
      </c>
      <c r="B15" t="inlineStr">
        <is>
          <t>MANTEQUILLA EN PORCIONES 200UDS 8G</t>
        </is>
      </c>
      <c r="C15" t="n">
        <v>0.28</v>
      </c>
    </row>
    <row r="16">
      <c r="A16" t="inlineStr">
        <is>
          <t>p14</t>
        </is>
      </c>
      <c r="B16" t="inlineStr">
        <is>
          <t>BACON SELECTED PREMIUM 4-2,27KG</t>
        </is>
      </c>
      <c r="C16" t="n">
        <v>6.61</v>
      </c>
    </row>
    <row r="17">
      <c r="A17" t="inlineStr">
        <is>
          <t>p15</t>
        </is>
      </c>
      <c r="B17" t="inlineStr">
        <is>
          <t>GUACAMOLE 12X1KG</t>
        </is>
      </c>
      <c r="C17" t="n">
        <v>8.25</v>
      </c>
    </row>
    <row r="18">
      <c r="A18" t="inlineStr">
        <is>
          <t>p16</t>
        </is>
      </c>
      <c r="B18" t="inlineStr">
        <is>
          <t>SALSA TERIYAKI YUMMYTO 1,8L*6</t>
        </is>
      </c>
      <c r="C18" t="n">
        <v>10.75</v>
      </c>
    </row>
    <row r="19">
      <c r="A19" t="inlineStr">
        <is>
          <t>b02</t>
        </is>
      </c>
      <c r="B19" t="inlineStr">
        <is>
          <t>SMOOTHIES VIERA B7 COLADA</t>
        </is>
      </c>
      <c r="C19" t="n">
        <v>0</v>
      </c>
    </row>
    <row r="20">
      <c r="A20" t="inlineStr">
        <is>
          <t>p17</t>
        </is>
      </c>
      <c r="B20" t="inlineStr">
        <is>
          <t>CUBITON</t>
        </is>
      </c>
      <c r="C20" t="n">
        <v>0</v>
      </c>
    </row>
    <row r="21">
      <c r="A21" t="inlineStr">
        <is>
          <t>p18</t>
        </is>
      </c>
      <c r="B21" t="inlineStr">
        <is>
          <t>ARTIS MINI TOSCANA CENTENO 200UD 40GR</t>
        </is>
      </c>
      <c r="C21" t="n">
        <v>0.31</v>
      </c>
    </row>
    <row r="22">
      <c r="A22" t="inlineStr">
        <is>
          <t>p19</t>
        </is>
      </c>
      <c r="B22" t="inlineStr">
        <is>
          <t>SIROPE DE VAINILLA</t>
        </is>
      </c>
      <c r="C22" t="n">
        <v>4.71</v>
      </c>
    </row>
    <row r="23">
      <c r="A23" t="inlineStr">
        <is>
          <t>p20</t>
        </is>
      </c>
      <c r="B23" t="inlineStr">
        <is>
          <t>SALCHICHA INGLESA 4,54KG</t>
        </is>
      </c>
      <c r="C23" t="n">
        <v>0.24</v>
      </c>
    </row>
    <row r="24">
      <c r="A24" t="inlineStr">
        <is>
          <t>p21</t>
        </is>
      </c>
      <c r="B24" t="inlineStr">
        <is>
          <t>VINAGRE ARROZ DESTILADO 1000 ML</t>
        </is>
      </c>
      <c r="C24" t="n">
        <v>2.07</v>
      </c>
    </row>
    <row r="25">
      <c r="A25" t="inlineStr">
        <is>
          <t>p22</t>
        </is>
      </c>
      <c r="B25" t="inlineStr">
        <is>
          <t>TILA</t>
        </is>
      </c>
      <c r="C25" t="n">
        <v>0.03</v>
      </c>
    </row>
    <row r="26">
      <c r="A26" t="inlineStr">
        <is>
          <t>p23</t>
        </is>
      </c>
      <c r="B26" t="inlineStr">
        <is>
          <t>FRIJOLES NEGRO 1KG</t>
        </is>
      </c>
      <c r="C26" t="n">
        <v>2.46</v>
      </c>
    </row>
    <row r="27">
      <c r="A27" t="inlineStr">
        <is>
          <t>p24</t>
        </is>
      </c>
      <c r="B27" t="inlineStr">
        <is>
          <t>NACHOS 12*500GRS CJ</t>
        </is>
      </c>
      <c r="C27" t="n">
        <v>3.25</v>
      </c>
    </row>
    <row r="28">
      <c r="A28" t="inlineStr">
        <is>
          <t>p25</t>
        </is>
      </c>
      <c r="B28" t="inlineStr">
        <is>
          <t>MANGO CUBOS 4*2,5KG</t>
        </is>
      </c>
      <c r="C28" t="n">
        <v>2.96</v>
      </c>
    </row>
    <row r="29">
      <c r="A29" t="inlineStr">
        <is>
          <t>p26</t>
        </is>
      </c>
      <c r="B29" t="inlineStr">
        <is>
          <t>MINI PANBAO 8B*45UND 700GRS</t>
        </is>
      </c>
      <c r="C29" t="n">
        <v>0</v>
      </c>
    </row>
    <row r="30">
      <c r="A30" t="inlineStr">
        <is>
          <t>p27</t>
        </is>
      </c>
      <c r="B30" t="inlineStr">
        <is>
          <t>bowl oval vinci</t>
        </is>
      </c>
      <c r="C30" t="n">
        <v>1.72</v>
      </c>
    </row>
    <row r="31">
      <c r="A31" t="inlineStr">
        <is>
          <t>p28</t>
        </is>
      </c>
      <c r="B31" t="inlineStr">
        <is>
          <t>PAN PERRITO</t>
        </is>
      </c>
      <c r="C31" t="n">
        <v>0</v>
      </c>
    </row>
    <row r="32">
      <c r="A32" t="inlineStr">
        <is>
          <t>p29</t>
        </is>
      </c>
      <c r="B32" t="inlineStr">
        <is>
          <t>PAPA HASH BROWN FARM FRITES</t>
        </is>
      </c>
      <c r="C32" t="n">
        <v>4.85</v>
      </c>
    </row>
    <row r="33">
      <c r="A33" t="inlineStr">
        <is>
          <t>p30</t>
        </is>
      </c>
      <c r="B33" t="inlineStr">
        <is>
          <t>BROWNIE NUECES</t>
        </is>
      </c>
      <c r="C33" t="n">
        <v>22.69</v>
      </c>
    </row>
    <row r="34">
      <c r="A34" t="inlineStr">
        <is>
          <t>p31</t>
        </is>
      </c>
      <c r="B34" t="inlineStr">
        <is>
          <t>PECHUGA POLLO B/2 KG</t>
        </is>
      </c>
      <c r="C34" t="n">
        <v>0</v>
      </c>
    </row>
    <row r="35">
      <c r="A35" t="inlineStr">
        <is>
          <t>p32</t>
        </is>
      </c>
      <c r="B35" t="inlineStr">
        <is>
          <t>SALMON AHUMADO PRECORT 3%</t>
        </is>
      </c>
      <c r="C35" t="n">
        <v>0.24</v>
      </c>
    </row>
    <row r="36">
      <c r="A36" t="inlineStr">
        <is>
          <t>p33</t>
        </is>
      </c>
      <c r="B36" t="inlineStr">
        <is>
          <t>CHORIZO IBERICO CULAR BELL CARRASCO</t>
        </is>
      </c>
      <c r="C36" t="n">
        <v>42.49</v>
      </c>
    </row>
    <row r="37">
      <c r="A37" t="inlineStr">
        <is>
          <t>p34</t>
        </is>
      </c>
      <c r="B37" t="inlineStr">
        <is>
          <t>SALCHICHON IBERICO CULAR BELL CARRASCO</t>
        </is>
      </c>
      <c r="C37" t="n">
        <v>14.2</v>
      </c>
    </row>
    <row r="38">
      <c r="A38" t="inlineStr">
        <is>
          <t>p35</t>
        </is>
      </c>
      <c r="B38" t="inlineStr">
        <is>
          <t>LOMO SALMON S/P 2X125GR</t>
        </is>
      </c>
      <c r="C38" t="n">
        <v>0</v>
      </c>
    </row>
    <row r="39">
      <c r="A39" t="inlineStr">
        <is>
          <t>p36</t>
        </is>
      </c>
      <c r="B39" t="inlineStr">
        <is>
          <t>LANGOSTINOS Nº 2 SALVAJE</t>
        </is>
      </c>
      <c r="C39" t="n">
        <v>3.79</v>
      </c>
    </row>
    <row r="40">
      <c r="A40" t="inlineStr">
        <is>
          <t>p37</t>
        </is>
      </c>
      <c r="B40" t="inlineStr">
        <is>
          <t>QUESO CANARIO SEMICURADO AL GOFIO</t>
        </is>
      </c>
      <c r="C40" t="n">
        <v>0</v>
      </c>
    </row>
    <row r="41">
      <c r="A41" t="inlineStr">
        <is>
          <t>b03</t>
        </is>
      </c>
      <c r="B41" t="inlineStr">
        <is>
          <t>KAHLUA LICOR DE CAFE</t>
        </is>
      </c>
      <c r="C41" t="n">
        <v>15.46</v>
      </c>
    </row>
    <row r="42">
      <c r="A42" t="inlineStr">
        <is>
          <t>p38</t>
        </is>
      </c>
      <c r="B42" t="inlineStr">
        <is>
          <t>QUESO FRESCO VALSEQUILLO</t>
        </is>
      </c>
      <c r="C42" t="n">
        <v>0</v>
      </c>
    </row>
    <row r="43">
      <c r="A43" t="inlineStr">
        <is>
          <t>p39</t>
        </is>
      </c>
      <c r="B43" t="inlineStr">
        <is>
          <t>DORADA 400/600 KG</t>
        </is>
      </c>
      <c r="C43" t="n">
        <v>9.640000000000001</v>
      </c>
    </row>
    <row r="44">
      <c r="A44" t="inlineStr">
        <is>
          <t>p40</t>
        </is>
      </c>
      <c r="B44" t="inlineStr">
        <is>
          <t>GOFRE BELGA 24UN</t>
        </is>
      </c>
      <c r="C44" t="n">
        <v>0.9</v>
      </c>
    </row>
    <row r="45">
      <c r="A45" t="inlineStr">
        <is>
          <t>p41</t>
        </is>
      </c>
      <c r="B45" t="inlineStr">
        <is>
          <t>SALSA SETAS</t>
        </is>
      </c>
      <c r="C45" t="n">
        <v>0</v>
      </c>
    </row>
    <row r="46">
      <c r="A46" t="inlineStr">
        <is>
          <t>p42</t>
        </is>
      </c>
      <c r="B46" t="inlineStr">
        <is>
          <t>PASTRAMI PIEZA</t>
        </is>
      </c>
      <c r="C46" t="n">
        <v>1.94</v>
      </c>
    </row>
    <row r="47">
      <c r="A47" t="inlineStr">
        <is>
          <t>p43</t>
        </is>
      </c>
      <c r="B47" t="inlineStr">
        <is>
          <t>MAYONESA BOCA ABAJO</t>
        </is>
      </c>
      <c r="C47" t="n">
        <v>0.99</v>
      </c>
    </row>
    <row r="48">
      <c r="A48" t="inlineStr">
        <is>
          <t>p44</t>
        </is>
      </c>
      <c r="B48" t="inlineStr">
        <is>
          <t>QUESO CHEDAR NARANJA</t>
        </is>
      </c>
      <c r="C48" t="n">
        <v>0</v>
      </c>
    </row>
    <row r="49">
      <c r="A49" t="inlineStr">
        <is>
          <t>p45</t>
        </is>
      </c>
      <c r="B49" t="inlineStr">
        <is>
          <t>QUESO GRANA PADANO</t>
        </is>
      </c>
      <c r="C49" t="n">
        <v>3.56</v>
      </c>
    </row>
    <row r="50">
      <c r="A50" t="inlineStr">
        <is>
          <t>p46</t>
        </is>
      </c>
      <c r="B50" t="inlineStr">
        <is>
          <t>HUEVO LIQUIDO REFRIGERADO GR5L</t>
        </is>
      </c>
      <c r="C50" t="n">
        <v>3.7</v>
      </c>
    </row>
    <row r="51">
      <c r="A51" t="inlineStr">
        <is>
          <t>p47</t>
        </is>
      </c>
      <c r="B51" t="inlineStr">
        <is>
          <t>QUESO SEMICURADO AHUMADO</t>
        </is>
      </c>
      <c r="C51" t="n">
        <v>0</v>
      </c>
    </row>
    <row r="52">
      <c r="A52" t="inlineStr">
        <is>
          <t>p48</t>
        </is>
      </c>
      <c r="B52" t="inlineStr">
        <is>
          <t>HUEVO CASCARA</t>
        </is>
      </c>
      <c r="C52" t="n">
        <v>0</v>
      </c>
    </row>
    <row r="53">
      <c r="A53" t="inlineStr">
        <is>
          <t>b04</t>
        </is>
      </c>
      <c r="B53" t="inlineStr">
        <is>
          <t>QUESO KRONOS CANARIO SEMICURADO AL PIMENTON</t>
        </is>
      </c>
      <c r="C53" t="n">
        <v>0</v>
      </c>
    </row>
    <row r="54">
      <c r="A54" t="inlineStr">
        <is>
          <t>p49</t>
        </is>
      </c>
      <c r="B54" t="inlineStr">
        <is>
          <t>QUESO RULO DE CABRA 1KG</t>
        </is>
      </c>
      <c r="C54" t="n">
        <v>2.1</v>
      </c>
    </row>
    <row r="55">
      <c r="A55" t="inlineStr">
        <is>
          <t>p50</t>
        </is>
      </c>
      <c r="B55" t="inlineStr">
        <is>
          <t>G.A.T</t>
        </is>
      </c>
      <c r="C55" t="n">
        <v>3</v>
      </c>
    </row>
    <row r="56">
      <c r="A56" t="inlineStr">
        <is>
          <t>p51</t>
        </is>
      </c>
      <c r="B56" t="inlineStr">
        <is>
          <t>TOMATE ENSALADA</t>
        </is>
      </c>
      <c r="C56" t="n">
        <v>0</v>
      </c>
    </row>
    <row r="57">
      <c r="A57" t="inlineStr">
        <is>
          <t>p52</t>
        </is>
      </c>
      <c r="B57" t="inlineStr">
        <is>
          <t>TOMATE CHERRY ENSALADA</t>
        </is>
      </c>
      <c r="C57" t="n">
        <v>0.11</v>
      </c>
    </row>
    <row r="58">
      <c r="A58" t="inlineStr">
        <is>
          <t>p53</t>
        </is>
      </c>
      <c r="B58" t="inlineStr">
        <is>
          <t>GALLINA BLANCA SALSA CHAMPIÑONES</t>
        </is>
      </c>
      <c r="C58" t="n">
        <v>0</v>
      </c>
    </row>
    <row r="59">
      <c r="A59" t="inlineStr">
        <is>
          <t>p54</t>
        </is>
      </c>
      <c r="B59" t="inlineStr">
        <is>
          <t>ZANAHORIA</t>
        </is>
      </c>
      <c r="C59" t="n">
        <v>1.62</v>
      </c>
    </row>
    <row r="60">
      <c r="A60" t="inlineStr">
        <is>
          <t>p55</t>
        </is>
      </c>
      <c r="B60" t="inlineStr">
        <is>
          <t>PEPINO</t>
        </is>
      </c>
      <c r="C60" t="n">
        <v>1.45</v>
      </c>
    </row>
    <row r="61">
      <c r="A61" t="inlineStr">
        <is>
          <t>p56</t>
        </is>
      </c>
      <c r="B61" t="inlineStr">
        <is>
          <t>PIMIENTO ROJO</t>
        </is>
      </c>
      <c r="C61" t="n">
        <v>3.21</v>
      </c>
    </row>
    <row r="62">
      <c r="A62" t="inlineStr">
        <is>
          <t>p57</t>
        </is>
      </c>
      <c r="B62" t="inlineStr">
        <is>
          <t>PIMIENTO VERDE</t>
        </is>
      </c>
      <c r="C62" t="n">
        <v>2.27</v>
      </c>
    </row>
    <row r="63">
      <c r="A63" t="inlineStr">
        <is>
          <t>b05</t>
        </is>
      </c>
      <c r="B63" t="inlineStr">
        <is>
          <t>AGUACATE HASS</t>
        </is>
      </c>
      <c r="C63" t="n">
        <v>5.2</v>
      </c>
    </row>
    <row r="64">
      <c r="A64" t="inlineStr">
        <is>
          <t>p58</t>
        </is>
      </c>
      <c r="B64" t="inlineStr">
        <is>
          <t>CEBOLLA ROJA</t>
        </is>
      </c>
      <c r="C64" t="n">
        <v>1.52</v>
      </c>
    </row>
    <row r="65">
      <c r="A65" t="inlineStr">
        <is>
          <t>p59</t>
        </is>
      </c>
      <c r="B65" t="inlineStr">
        <is>
          <t>CEBOLLA</t>
        </is>
      </c>
      <c r="C65" t="n">
        <v>0.99</v>
      </c>
    </row>
    <row r="66">
      <c r="A66" t="inlineStr">
        <is>
          <t>p60</t>
        </is>
      </c>
      <c r="B66" t="inlineStr">
        <is>
          <t>LECHUGA LOLLO ROSA</t>
        </is>
      </c>
      <c r="C66" t="n">
        <v>1.18</v>
      </c>
    </row>
    <row r="67">
      <c r="A67" t="inlineStr">
        <is>
          <t>p61</t>
        </is>
      </c>
      <c r="B67" t="inlineStr">
        <is>
          <t>LECHUGA HOJA DE ROBLE</t>
        </is>
      </c>
      <c r="C67" t="n">
        <v>0.75</v>
      </c>
    </row>
    <row r="68">
      <c r="A68" t="inlineStr">
        <is>
          <t>p62</t>
        </is>
      </c>
      <c r="B68" t="inlineStr">
        <is>
          <t>FIAMBRE CARNE DE CERDO TULIP</t>
        </is>
      </c>
      <c r="C68" t="n">
        <v>0</v>
      </c>
    </row>
    <row r="69">
      <c r="A69" t="inlineStr">
        <is>
          <t>p63</t>
        </is>
      </c>
      <c r="B69" t="inlineStr">
        <is>
          <t>AJO MORADO</t>
        </is>
      </c>
      <c r="C69" t="n">
        <v>4.24</v>
      </c>
    </row>
    <row r="70">
      <c r="A70" t="inlineStr">
        <is>
          <t>p64</t>
        </is>
      </c>
      <c r="B70" t="inlineStr">
        <is>
          <t>PEREJIL</t>
        </is>
      </c>
      <c r="C70" t="n">
        <v>0.46</v>
      </c>
    </row>
    <row r="71">
      <c r="A71" t="inlineStr">
        <is>
          <t>p65</t>
        </is>
      </c>
      <c r="B71" t="inlineStr">
        <is>
          <t>MORA</t>
        </is>
      </c>
      <c r="C71" t="n">
        <v>0</v>
      </c>
    </row>
    <row r="72">
      <c r="A72" t="inlineStr">
        <is>
          <t>p66</t>
        </is>
      </c>
      <c r="B72" t="inlineStr">
        <is>
          <t>PLATANO</t>
        </is>
      </c>
      <c r="C72" t="n">
        <v>0</v>
      </c>
    </row>
    <row r="73">
      <c r="A73" t="inlineStr">
        <is>
          <t>b06</t>
        </is>
      </c>
      <c r="B73" t="inlineStr">
        <is>
          <t>NARANJA ZUMO</t>
        </is>
      </c>
      <c r="C73" t="n">
        <v>1.38</v>
      </c>
    </row>
    <row r="74">
      <c r="A74" t="inlineStr">
        <is>
          <t>p67</t>
        </is>
      </c>
      <c r="B74" t="inlineStr">
        <is>
          <t>LIMA</t>
        </is>
      </c>
      <c r="C74" t="n">
        <v>0</v>
      </c>
    </row>
    <row r="75">
      <c r="A75" t="inlineStr">
        <is>
          <t>p68</t>
        </is>
      </c>
      <c r="B75" t="inlineStr">
        <is>
          <t>PIÑA TROPICAL</t>
        </is>
      </c>
      <c r="C75" t="n">
        <v>0</v>
      </c>
    </row>
    <row r="76">
      <c r="A76" t="inlineStr">
        <is>
          <t>p69</t>
        </is>
      </c>
      <c r="B76" t="inlineStr">
        <is>
          <t>MELON VERDE</t>
        </is>
      </c>
      <c r="C76" t="n">
        <v>2.09</v>
      </c>
    </row>
    <row r="77">
      <c r="A77" t="inlineStr">
        <is>
          <t>p70</t>
        </is>
      </c>
      <c r="B77" t="inlineStr">
        <is>
          <t>PAPAYA</t>
        </is>
      </c>
      <c r="C77" t="n">
        <v>1.9</v>
      </c>
    </row>
    <row r="78">
      <c r="A78" t="inlineStr">
        <is>
          <t>p71</t>
        </is>
      </c>
      <c r="B78" t="inlineStr">
        <is>
          <t>KIWI</t>
        </is>
      </c>
      <c r="C78" t="n">
        <v>0.51</v>
      </c>
    </row>
    <row r="79">
      <c r="A79" t="inlineStr">
        <is>
          <t>p72</t>
        </is>
      </c>
      <c r="B79" t="inlineStr">
        <is>
          <t>LIMON</t>
        </is>
      </c>
      <c r="C79" t="n">
        <v>2.66</v>
      </c>
    </row>
    <row r="80">
      <c r="A80" t="inlineStr">
        <is>
          <t>p73</t>
        </is>
      </c>
      <c r="B80" t="inlineStr">
        <is>
          <t>CILANTRO</t>
        </is>
      </c>
      <c r="C80" t="n">
        <v>0.44</v>
      </c>
    </row>
    <row r="81">
      <c r="A81" t="inlineStr">
        <is>
          <t>p74</t>
        </is>
      </c>
      <c r="B81" t="inlineStr">
        <is>
          <t>LECHUGA BATAVIA</t>
        </is>
      </c>
      <c r="C81" t="n">
        <v>0</v>
      </c>
    </row>
    <row r="82">
      <c r="A82" t="inlineStr">
        <is>
          <t>p75</t>
        </is>
      </c>
      <c r="B82" t="inlineStr">
        <is>
          <t>HIERBA HUERTO</t>
        </is>
      </c>
      <c r="C82" t="n">
        <v>0.5600000000000001</v>
      </c>
    </row>
    <row r="83">
      <c r="A83" t="inlineStr">
        <is>
          <t>p76</t>
        </is>
      </c>
      <c r="B83" t="inlineStr">
        <is>
          <t>UVA NEGRA</t>
        </is>
      </c>
      <c r="C83" t="n">
        <v>4.38</v>
      </c>
    </row>
    <row r="84">
      <c r="A84" t="inlineStr">
        <is>
          <t>p77</t>
        </is>
      </c>
      <c r="B84" t="inlineStr">
        <is>
          <t>RABANITO</t>
        </is>
      </c>
      <c r="C84" t="n">
        <v>1.1</v>
      </c>
    </row>
    <row r="85">
      <c r="A85" t="inlineStr">
        <is>
          <t>p78</t>
        </is>
      </c>
      <c r="B85" t="inlineStr">
        <is>
          <t>MANZANA GOLDEN</t>
        </is>
      </c>
      <c r="C85" t="n">
        <v>1.99</v>
      </c>
    </row>
    <row r="86">
      <c r="A86" t="inlineStr">
        <is>
          <t>p79</t>
        </is>
      </c>
      <c r="B86" t="inlineStr">
        <is>
          <t>MANZANA RED CHIEF</t>
        </is>
      </c>
      <c r="C86" t="n">
        <v>0</v>
      </c>
    </row>
    <row r="87">
      <c r="A87" t="inlineStr">
        <is>
          <t>p80</t>
        </is>
      </c>
      <c r="B87" t="inlineStr">
        <is>
          <t>PERA CONFERENCE</t>
        </is>
      </c>
      <c r="C87" t="n">
        <v>2.37</v>
      </c>
    </row>
    <row r="88">
      <c r="A88" t="inlineStr">
        <is>
          <t>p81</t>
        </is>
      </c>
      <c r="B88" t="inlineStr">
        <is>
          <t>TAJASTE ROSCA</t>
        </is>
      </c>
      <c r="C88" t="n">
        <v>1.52</v>
      </c>
    </row>
    <row r="89">
      <c r="A89" t="inlineStr">
        <is>
          <t>p82</t>
        </is>
      </c>
      <c r="B89" t="inlineStr">
        <is>
          <t>CIRUELA ROJA</t>
        </is>
      </c>
      <c r="C89" t="n">
        <v>0</v>
      </c>
    </row>
    <row r="90">
      <c r="A90" t="inlineStr">
        <is>
          <t>p83</t>
        </is>
      </c>
      <c r="B90" t="inlineStr">
        <is>
          <t>SANDIA BLANCA</t>
        </is>
      </c>
      <c r="C90" t="n">
        <v>0.24</v>
      </c>
    </row>
    <row r="91">
      <c r="A91" t="inlineStr">
        <is>
          <t>p84</t>
        </is>
      </c>
      <c r="B91" t="inlineStr">
        <is>
          <t>ALBARICOQUE</t>
        </is>
      </c>
      <c r="C91" t="n">
        <v>1.1</v>
      </c>
    </row>
    <row r="92">
      <c r="A92" t="inlineStr">
        <is>
          <t>p85</t>
        </is>
      </c>
      <c r="B92" t="inlineStr">
        <is>
          <t>ESCAROLA</t>
        </is>
      </c>
      <c r="C92" t="n">
        <v>1.2</v>
      </c>
    </row>
    <row r="93">
      <c r="A93" t="inlineStr">
        <is>
          <t>p86</t>
        </is>
      </c>
      <c r="B93" t="inlineStr">
        <is>
          <t>HELADO VAINILLA 5L</t>
        </is>
      </c>
      <c r="C93" t="n">
        <v>16.01</v>
      </c>
    </row>
    <row r="94">
      <c r="A94" t="inlineStr">
        <is>
          <t>b07</t>
        </is>
      </c>
      <c r="B94" t="inlineStr">
        <is>
          <t>HELADO CHOCOLATE 5L</t>
        </is>
      </c>
      <c r="C94" t="n">
        <v>17.12</v>
      </c>
    </row>
    <row r="95">
      <c r="A95" t="inlineStr">
        <is>
          <t>p87</t>
        </is>
      </c>
      <c r="B95" t="inlineStr">
        <is>
          <t>PANKO / PAN RALLADO 1KG</t>
        </is>
      </c>
      <c r="C95" t="n">
        <v>4.95</v>
      </c>
    </row>
    <row r="96">
      <c r="A96" t="inlineStr">
        <is>
          <t>p88</t>
        </is>
      </c>
      <c r="B96" t="inlineStr">
        <is>
          <t>SAZONADOR NATURAL</t>
        </is>
      </c>
      <c r="C96" t="n">
        <v>0</v>
      </c>
    </row>
    <row r="97">
      <c r="A97" t="inlineStr">
        <is>
          <t>p89</t>
        </is>
      </c>
      <c r="B97" t="inlineStr">
        <is>
          <t>MORTADELA PIEZA</t>
        </is>
      </c>
      <c r="C97" t="n">
        <v>0</v>
      </c>
    </row>
    <row r="98">
      <c r="A98" t="inlineStr">
        <is>
          <t>p90</t>
        </is>
      </c>
      <c r="B98" t="inlineStr">
        <is>
          <t>AZUCAR EN SOBRES C/10KG</t>
        </is>
      </c>
      <c r="C98" t="n">
        <v>0.01</v>
      </c>
    </row>
    <row r="99">
      <c r="A99" t="inlineStr">
        <is>
          <t>p91</t>
        </is>
      </c>
      <c r="B99" t="inlineStr">
        <is>
          <t>EDULCORANTE SOBRES 200UND</t>
        </is>
      </c>
      <c r="C99" t="n">
        <v>0.02</v>
      </c>
    </row>
    <row r="100">
      <c r="A100" t="inlineStr">
        <is>
          <t>p92</t>
        </is>
      </c>
      <c r="B100" t="inlineStr">
        <is>
          <t>TE VERDE 200UND</t>
        </is>
      </c>
      <c r="C100" t="n">
        <v>0.04</v>
      </c>
    </row>
    <row r="101">
      <c r="A101" t="inlineStr">
        <is>
          <t>p93</t>
        </is>
      </c>
      <c r="B101" t="inlineStr">
        <is>
          <t>MANZANILLA C/F BAND 200 UND</t>
        </is>
      </c>
      <c r="C101" t="n">
        <v>0.02</v>
      </c>
    </row>
    <row r="102">
      <c r="A102" t="inlineStr">
        <is>
          <t>p94</t>
        </is>
      </c>
      <c r="B102" t="inlineStr">
        <is>
          <t>TE ROJO 200 UND</t>
        </is>
      </c>
      <c r="C102" t="n">
        <v>0.05</v>
      </c>
    </row>
    <row r="103">
      <c r="A103" t="inlineStr">
        <is>
          <t>p95</t>
        </is>
      </c>
      <c r="B103" t="inlineStr">
        <is>
          <t>ACEITE V.EXTRA 100UND</t>
        </is>
      </c>
      <c r="C103" t="n">
        <v>0.11</v>
      </c>
    </row>
    <row r="104">
      <c r="A104" t="inlineStr">
        <is>
          <t>p96</t>
        </is>
      </c>
      <c r="B104" t="inlineStr">
        <is>
          <t>KETCHUP GOURMET 12G 200 UND</t>
        </is>
      </c>
      <c r="C104" t="n">
        <v>0.06</v>
      </c>
    </row>
    <row r="105">
      <c r="A105" t="inlineStr">
        <is>
          <t>p97</t>
        </is>
      </c>
      <c r="B105" t="inlineStr">
        <is>
          <t>MAYONESA GOURMET 15ML 200 UND</t>
        </is>
      </c>
      <c r="C105" t="n">
        <v>0.06</v>
      </c>
    </row>
    <row r="106">
      <c r="A106" t="inlineStr">
        <is>
          <t>p98</t>
        </is>
      </c>
      <c r="B106" t="inlineStr">
        <is>
          <t>MOSTAZA GOURMENT 6G 200 UND</t>
        </is>
      </c>
      <c r="C106" t="n">
        <v>0.06</v>
      </c>
    </row>
    <row r="107">
      <c r="A107" t="inlineStr">
        <is>
          <t>p99</t>
        </is>
      </c>
      <c r="B107" t="inlineStr">
        <is>
          <t>POMELO</t>
        </is>
      </c>
      <c r="C107" t="n">
        <v>0.28</v>
      </c>
    </row>
    <row r="108">
      <c r="A108" t="inlineStr">
        <is>
          <t>p100</t>
        </is>
      </c>
      <c r="B108" t="inlineStr">
        <is>
          <t>SEMILLAS DE CHIA 250GRS</t>
        </is>
      </c>
      <c r="C108" t="n">
        <v>1.55</v>
      </c>
    </row>
    <row r="109">
      <c r="A109" t="inlineStr">
        <is>
          <t>p101</t>
        </is>
      </c>
      <c r="B109" t="inlineStr">
        <is>
          <t>POLLO EMPANADO</t>
        </is>
      </c>
      <c r="C109" t="n">
        <v>4.9</v>
      </c>
    </row>
    <row r="110">
      <c r="A110" t="inlineStr">
        <is>
          <t>p102</t>
        </is>
      </c>
      <c r="B110" t="inlineStr">
        <is>
          <t>JAMON COCIDO EXTRA</t>
        </is>
      </c>
      <c r="C110" t="n">
        <v>0</v>
      </c>
    </row>
    <row r="111">
      <c r="A111" t="inlineStr">
        <is>
          <t>b08</t>
        </is>
      </c>
      <c r="B111" t="inlineStr">
        <is>
          <t>COLA DE RAPE</t>
        </is>
      </c>
      <c r="C111" t="n">
        <v>4.76</v>
      </c>
    </row>
    <row r="112">
      <c r="A112" t="inlineStr">
        <is>
          <t>p103</t>
        </is>
      </c>
      <c r="B112" t="inlineStr">
        <is>
          <t>PIÑA EN SU JUGO</t>
        </is>
      </c>
      <c r="C112" t="n">
        <v>1.9</v>
      </c>
    </row>
    <row r="113">
      <c r="A113" t="inlineStr">
        <is>
          <t>p104</t>
        </is>
      </c>
      <c r="B113" t="inlineStr">
        <is>
          <t>CERDO AGUJA</t>
        </is>
      </c>
      <c r="C113" t="n">
        <v>0</v>
      </c>
    </row>
    <row r="114">
      <c r="A114" t="inlineStr">
        <is>
          <t>p105</t>
        </is>
      </c>
      <c r="B114" t="inlineStr">
        <is>
          <t>FRESA CONGELADA</t>
        </is>
      </c>
      <c r="C114" t="n">
        <v>2.17</v>
      </c>
    </row>
    <row r="115">
      <c r="A115" t="inlineStr">
        <is>
          <t>p106</t>
        </is>
      </c>
      <c r="B115" t="inlineStr">
        <is>
          <t>EL GRIFO MALVASIA SECO COLECCIÓN 75CL</t>
        </is>
      </c>
      <c r="C115" t="n">
        <v>14.11</v>
      </c>
    </row>
    <row r="116">
      <c r="A116" t="inlineStr">
        <is>
          <t>p107</t>
        </is>
      </c>
      <c r="B116" t="inlineStr">
        <is>
          <t>RIOJA TINTO MONTECILLO CZA 750CC</t>
        </is>
      </c>
      <c r="C116" t="n">
        <v>4.17</v>
      </c>
    </row>
    <row r="117">
      <c r="A117" t="inlineStr">
        <is>
          <t>p108</t>
        </is>
      </c>
      <c r="B117" t="inlineStr">
        <is>
          <t>SALSA BRAVA</t>
        </is>
      </c>
      <c r="C117" t="n">
        <v>7.2</v>
      </c>
    </row>
    <row r="118">
      <c r="A118" t="inlineStr">
        <is>
          <t>p109</t>
        </is>
      </c>
      <c r="B118" t="inlineStr">
        <is>
          <t>ARROZ BASMATI 1KG</t>
        </is>
      </c>
      <c r="C118" t="n">
        <v>2.94</v>
      </c>
    </row>
    <row r="119">
      <c r="A119" t="inlineStr">
        <is>
          <t>p110</t>
        </is>
      </c>
      <c r="B119" t="inlineStr">
        <is>
          <t>GROSELLA BANDEJA</t>
        </is>
      </c>
      <c r="C119" t="n">
        <v>0</v>
      </c>
    </row>
    <row r="120">
      <c r="A120" t="inlineStr">
        <is>
          <t>p111</t>
        </is>
      </c>
      <c r="B120" t="inlineStr">
        <is>
          <t>CARNE PICADA PERSONAL</t>
        </is>
      </c>
      <c r="C120" t="n">
        <v>0</v>
      </c>
    </row>
    <row r="121">
      <c r="A121" t="inlineStr">
        <is>
          <t>p112</t>
        </is>
      </c>
      <c r="B121" t="inlineStr">
        <is>
          <t>ESPAGUETI 5KG</t>
        </is>
      </c>
      <c r="C121" t="n">
        <v>0.97</v>
      </c>
    </row>
    <row r="122">
      <c r="A122" t="inlineStr">
        <is>
          <t>p113</t>
        </is>
      </c>
      <c r="B122" t="inlineStr">
        <is>
          <t>CALDO SOLUBLE COCIDO/VERDURA</t>
        </is>
      </c>
      <c r="C122" t="n">
        <v>0</v>
      </c>
    </row>
    <row r="123">
      <c r="A123" t="inlineStr">
        <is>
          <t>p114</t>
        </is>
      </c>
      <c r="B123" t="inlineStr">
        <is>
          <t>ARROZ BOMBA EXTRA 1KG</t>
        </is>
      </c>
      <c r="C123" t="n">
        <v>6</v>
      </c>
    </row>
    <row r="124">
      <c r="A124" t="inlineStr">
        <is>
          <t>p115</t>
        </is>
      </c>
      <c r="B124" t="inlineStr">
        <is>
          <t>CORN FLAKES 1KG</t>
        </is>
      </c>
      <c r="C124" t="n">
        <v>2.39</v>
      </c>
    </row>
    <row r="125">
      <c r="A125" t="inlineStr">
        <is>
          <t>p116</t>
        </is>
      </c>
      <c r="B125" t="inlineStr">
        <is>
          <t>MUESLI CON 5 FRUTAS 1KG</t>
        </is>
      </c>
      <c r="C125" t="n">
        <v>2.71</v>
      </c>
    </row>
    <row r="126">
      <c r="A126" t="inlineStr">
        <is>
          <t>p117</t>
        </is>
      </c>
      <c r="B126" t="inlineStr">
        <is>
          <t>CHAMPIÑON LAMINADO 3KG</t>
        </is>
      </c>
      <c r="C126" t="n">
        <v>5</v>
      </c>
    </row>
    <row r="127">
      <c r="A127" t="inlineStr">
        <is>
          <t>p118</t>
        </is>
      </c>
      <c r="B127" t="inlineStr">
        <is>
          <t>SAL MARINA FINA 1KG</t>
        </is>
      </c>
      <c r="C127" t="n">
        <v>0.45</v>
      </c>
    </row>
    <row r="128">
      <c r="A128" t="inlineStr">
        <is>
          <t>p119</t>
        </is>
      </c>
      <c r="B128" t="inlineStr">
        <is>
          <t>SAL MARINA GRUESA 1KG</t>
        </is>
      </c>
      <c r="C128" t="n">
        <v>0.34</v>
      </c>
    </row>
    <row r="129">
      <c r="A129" t="inlineStr">
        <is>
          <t>p120</t>
        </is>
      </c>
      <c r="B129" t="inlineStr">
        <is>
          <t>PIMIENTA NEGRA MOLIDA 910GRS</t>
        </is>
      </c>
      <c r="C129" t="n">
        <v>0</v>
      </c>
    </row>
    <row r="130">
      <c r="A130" t="inlineStr">
        <is>
          <t>p121</t>
        </is>
      </c>
      <c r="B130" t="inlineStr">
        <is>
          <t>TABASCO 60ML</t>
        </is>
      </c>
      <c r="C130" t="n">
        <v>2.2</v>
      </c>
    </row>
    <row r="131">
      <c r="A131" t="inlineStr">
        <is>
          <t>p122</t>
        </is>
      </c>
      <c r="B131" t="inlineStr">
        <is>
          <t>MELOCOTON EN SU JUGO</t>
        </is>
      </c>
      <c r="C131" t="n">
        <v>1.95</v>
      </c>
    </row>
    <row r="132">
      <c r="A132" t="inlineStr">
        <is>
          <t>p123</t>
        </is>
      </c>
      <c r="B132" t="inlineStr">
        <is>
          <t>MARGARINA 192X10GRS</t>
        </is>
      </c>
      <c r="C132" t="n">
        <v>0.05</v>
      </c>
    </row>
    <row r="133">
      <c r="A133" t="inlineStr">
        <is>
          <t>p124</t>
        </is>
      </c>
      <c r="B133" t="inlineStr">
        <is>
          <t>NATA CREME DECOR SPRAY 500ML</t>
        </is>
      </c>
      <c r="C133" t="n">
        <v>1.76</v>
      </c>
    </row>
    <row r="134">
      <c r="A134" t="inlineStr">
        <is>
          <t>b09</t>
        </is>
      </c>
      <c r="B134" t="inlineStr">
        <is>
          <t>VINAGRE DE VINO SOBRES 400X10ML</t>
        </is>
      </c>
      <c r="C134" t="n">
        <v>0.04</v>
      </c>
    </row>
    <row r="135">
      <c r="A135" t="inlineStr">
        <is>
          <t>p125</t>
        </is>
      </c>
      <c r="B135" t="inlineStr">
        <is>
          <t>NECTAR PIÑA</t>
        </is>
      </c>
      <c r="C135" t="n">
        <v>1.36</v>
      </c>
    </row>
    <row r="136">
      <c r="A136" t="inlineStr">
        <is>
          <t>p126</t>
        </is>
      </c>
      <c r="B136" t="inlineStr">
        <is>
          <t>MIEL DE FLORES 1KG</t>
        </is>
      </c>
      <c r="C136" t="n">
        <v>4.46</v>
      </c>
    </row>
    <row r="137">
      <c r="A137" t="inlineStr">
        <is>
          <t>p127</t>
        </is>
      </c>
      <c r="B137" t="inlineStr">
        <is>
          <t>LECHE ENTERA BRIK 1L</t>
        </is>
      </c>
      <c r="C137" t="n">
        <v>0.98</v>
      </c>
    </row>
    <row r="138">
      <c r="A138" t="inlineStr">
        <is>
          <t>b10</t>
        </is>
      </c>
      <c r="B138" t="inlineStr">
        <is>
          <t>BEBIDA DE SOJA BRIK 1L</t>
        </is>
      </c>
      <c r="C138" t="n">
        <v>2.77</v>
      </c>
    </row>
    <row r="139">
      <c r="A139" t="inlineStr">
        <is>
          <t>p128</t>
        </is>
      </c>
      <c r="B139" t="inlineStr">
        <is>
          <t>LECHE SEMIDESNATADA BRIK 1L</t>
        </is>
      </c>
      <c r="C139" t="n">
        <v>0.9</v>
      </c>
    </row>
    <row r="140">
      <c r="A140" t="inlineStr">
        <is>
          <t>p129</t>
        </is>
      </c>
      <c r="B140" t="inlineStr">
        <is>
          <t>GALLETAS MARIA 250UND X20GRS</t>
        </is>
      </c>
      <c r="C140" t="n">
        <v>0.07000000000000001</v>
      </c>
    </row>
    <row r="141">
      <c r="A141" t="inlineStr">
        <is>
          <t>p130</t>
        </is>
      </c>
      <c r="B141" t="inlineStr">
        <is>
          <t>TE NEGRO 100% NATURAL</t>
        </is>
      </c>
      <c r="C141" t="n">
        <v>0.05</v>
      </c>
    </row>
    <row r="142">
      <c r="A142" t="inlineStr">
        <is>
          <t>p131</t>
        </is>
      </c>
      <c r="B142" t="inlineStr">
        <is>
          <t>CAFE DESCAFEINADO 100X2GR</t>
        </is>
      </c>
      <c r="C142" t="n">
        <v>0.07000000000000001</v>
      </c>
    </row>
    <row r="143">
      <c r="A143" t="inlineStr">
        <is>
          <t>p132</t>
        </is>
      </c>
      <c r="B143" t="inlineStr">
        <is>
          <t>CARNE VACA</t>
        </is>
      </c>
      <c r="C143" t="n">
        <v>0</v>
      </c>
    </row>
    <row r="144">
      <c r="A144" t="inlineStr">
        <is>
          <t>p133</t>
        </is>
      </c>
      <c r="B144" t="inlineStr">
        <is>
          <t>SIROPE FRESA 1.2KG</t>
        </is>
      </c>
      <c r="C144" t="n">
        <v>0</v>
      </c>
    </row>
    <row r="145">
      <c r="A145" t="inlineStr">
        <is>
          <t>b11</t>
        </is>
      </c>
      <c r="B145" t="inlineStr">
        <is>
          <t>SIROPE CHOCOLATE 1,2KG</t>
        </is>
      </c>
      <c r="C145" t="n">
        <v>6.14</v>
      </c>
    </row>
    <row r="146">
      <c r="A146" t="inlineStr">
        <is>
          <t>p134</t>
        </is>
      </c>
      <c r="B146" t="inlineStr">
        <is>
          <t>AZUCAR MORENO SOBRES 7GRS</t>
        </is>
      </c>
      <c r="C146" t="n">
        <v>0.02</v>
      </c>
    </row>
    <row r="147">
      <c r="A147" t="inlineStr">
        <is>
          <t>b12</t>
        </is>
      </c>
      <c r="B147" t="inlineStr">
        <is>
          <t>VODKA SMIRNOFF RED 1L</t>
        </is>
      </c>
      <c r="C147" t="n">
        <v>9.17</v>
      </c>
    </row>
    <row r="148">
      <c r="A148" t="inlineStr">
        <is>
          <t>p135</t>
        </is>
      </c>
      <c r="B148" t="inlineStr">
        <is>
          <t>TINTO FIGUERO 12 CRIANZA 2020</t>
        </is>
      </c>
      <c r="C148" t="n">
        <v>18.45</v>
      </c>
    </row>
    <row r="149">
      <c r="A149" t="inlineStr">
        <is>
          <t>p136</t>
        </is>
      </c>
      <c r="B149" t="inlineStr">
        <is>
          <t>BAILYS ORIGINAL 17º</t>
        </is>
      </c>
      <c r="C149" t="n">
        <v>14.3</v>
      </c>
    </row>
    <row r="150">
      <c r="A150" t="inlineStr">
        <is>
          <t>b13</t>
        </is>
      </c>
      <c r="B150" t="inlineStr">
        <is>
          <t>TEQUILA JALISCO DORADO 35º 70CL</t>
        </is>
      </c>
      <c r="C150" t="n">
        <v>10.5</v>
      </c>
    </row>
    <row r="151">
      <c r="A151" t="inlineStr">
        <is>
          <t>b14</t>
        </is>
      </c>
      <c r="B151" t="inlineStr">
        <is>
          <t>LICOR TRIPLE SECO ORANGEAU</t>
        </is>
      </c>
      <c r="C151" t="n">
        <v>4.42</v>
      </c>
    </row>
    <row r="152">
      <c r="A152" t="inlineStr">
        <is>
          <t>p137</t>
        </is>
      </c>
      <c r="B152" t="inlineStr">
        <is>
          <t>PUREE FRESA MONIN 1L</t>
        </is>
      </c>
      <c r="C152" t="n">
        <v>16.86</v>
      </c>
    </row>
    <row r="153">
      <c r="A153" t="inlineStr">
        <is>
          <t>p138</t>
        </is>
      </c>
      <c r="B153" t="inlineStr">
        <is>
          <t>PUREE FRUTA PASION MONIN</t>
        </is>
      </c>
      <c r="C153" t="n">
        <v>17.78</v>
      </c>
    </row>
    <row r="154">
      <c r="A154" t="inlineStr">
        <is>
          <t>p139</t>
        </is>
      </c>
      <c r="B154" t="inlineStr">
        <is>
          <t>CODORNIU PRIMA VIDES B 75CL</t>
        </is>
      </c>
      <c r="C154" t="n">
        <v>5.82</v>
      </c>
    </row>
    <row r="155">
      <c r="A155" t="inlineStr">
        <is>
          <t>p140</t>
        </is>
      </c>
      <c r="B155" t="inlineStr">
        <is>
          <t>CV ANNA C.BLANC DE BLANC B. 200ML</t>
        </is>
      </c>
      <c r="C155" t="n">
        <v>3.85</v>
      </c>
    </row>
    <row r="156">
      <c r="A156" t="inlineStr">
        <is>
          <t>p141</t>
        </is>
      </c>
      <c r="B156" t="inlineStr">
        <is>
          <t>APEROL 11º 1L</t>
        </is>
      </c>
      <c r="C156" t="n">
        <v>13.45</v>
      </c>
    </row>
    <row r="157">
      <c r="A157" t="inlineStr">
        <is>
          <t>b15</t>
        </is>
      </c>
      <c r="B157" t="inlineStr">
        <is>
          <t>LICOR RUAVIEJA HIERBAS 30º 70CL</t>
        </is>
      </c>
      <c r="C157" t="n">
        <v>0</v>
      </c>
    </row>
    <row r="158">
      <c r="A158" t="inlineStr">
        <is>
          <t>b16</t>
        </is>
      </c>
      <c r="B158" t="inlineStr">
        <is>
          <t>LICOR MELOCOTON</t>
        </is>
      </c>
      <c r="C158" t="n">
        <v>4.42</v>
      </c>
    </row>
    <row r="159">
      <c r="A159" t="inlineStr">
        <is>
          <t>b17</t>
        </is>
      </c>
      <c r="B159" t="inlineStr">
        <is>
          <t>AMARETTO DISARONNO 1L</t>
        </is>
      </c>
      <c r="C159" t="n">
        <v>0</v>
      </c>
    </row>
    <row r="160">
      <c r="A160" t="inlineStr">
        <is>
          <t>p142</t>
        </is>
      </c>
      <c r="B160" t="inlineStr">
        <is>
          <t>TIA MARIA 1L</t>
        </is>
      </c>
      <c r="C160" t="n">
        <v>15.94</v>
      </c>
    </row>
    <row r="161">
      <c r="A161" t="inlineStr">
        <is>
          <t>b18</t>
        </is>
      </c>
      <c r="B161" t="inlineStr">
        <is>
          <t>LICOR MALIBU COCO 1L</t>
        </is>
      </c>
      <c r="C161" t="n">
        <v>12.45</v>
      </c>
    </row>
    <row r="162">
      <c r="A162" t="inlineStr">
        <is>
          <t>b19</t>
        </is>
      </c>
      <c r="B162" t="inlineStr">
        <is>
          <t>RON MIEL INDIAS 1L</t>
        </is>
      </c>
      <c r="C162" t="n">
        <v>8.02</v>
      </c>
    </row>
    <row r="163">
      <c r="A163" t="inlineStr">
        <is>
          <t>b20</t>
        </is>
      </c>
      <c r="B163" t="inlineStr">
        <is>
          <t>BRANDY JEREZ RVA MAGNO 70CL</t>
        </is>
      </c>
      <c r="C163" t="n">
        <v>10.15</v>
      </c>
    </row>
    <row r="164">
      <c r="A164" t="inlineStr">
        <is>
          <t>b21</t>
        </is>
      </c>
      <c r="B164" t="inlineStr">
        <is>
          <t>JACK DANIELS WHISKY 1L</t>
        </is>
      </c>
      <c r="C164" t="n">
        <v>0</v>
      </c>
    </row>
    <row r="165">
      <c r="A165" t="inlineStr">
        <is>
          <t>b22</t>
        </is>
      </c>
      <c r="B165" t="inlineStr">
        <is>
          <t>WHISKY CARDHU 12 AÑOS</t>
        </is>
      </c>
      <c r="C165" t="n">
        <v>0</v>
      </c>
    </row>
    <row r="166">
      <c r="A166" t="inlineStr">
        <is>
          <t>p143</t>
        </is>
      </c>
      <c r="B166" t="inlineStr">
        <is>
          <t>GORDONS DRY GIN</t>
        </is>
      </c>
      <c r="C166" t="n">
        <v>10.43</v>
      </c>
    </row>
    <row r="167">
      <c r="A167" t="inlineStr">
        <is>
          <t>p144</t>
        </is>
      </c>
      <c r="B167" t="inlineStr">
        <is>
          <t>MARTIN MILLERS 70CL</t>
        </is>
      </c>
      <c r="C167" t="n">
        <v>22.93</v>
      </c>
    </row>
    <row r="168">
      <c r="A168" t="inlineStr">
        <is>
          <t>p145</t>
        </is>
      </c>
      <c r="B168" t="inlineStr">
        <is>
          <t>GIN NORDES 70CL</t>
        </is>
      </c>
      <c r="C168" t="n">
        <v>10.68</v>
      </c>
    </row>
    <row r="169">
      <c r="A169" t="inlineStr">
        <is>
          <t>b23</t>
        </is>
      </c>
      <c r="B169" t="inlineStr">
        <is>
          <t>RON HAVANA CLUB 7A 70CL</t>
        </is>
      </c>
      <c r="C169" t="n">
        <v>20.78</v>
      </c>
    </row>
    <row r="170">
      <c r="A170" t="inlineStr">
        <is>
          <t>b24</t>
        </is>
      </c>
      <c r="B170" t="inlineStr">
        <is>
          <t>RON AREHUCAS RVA ESPEC 18 AÑOS</t>
        </is>
      </c>
      <c r="C170" t="n">
        <v>0</v>
      </c>
    </row>
    <row r="171">
      <c r="A171" t="inlineStr">
        <is>
          <t>b25</t>
        </is>
      </c>
      <c r="B171" t="inlineStr">
        <is>
          <t>AGUA MANANTIAL PET 50CL</t>
        </is>
      </c>
      <c r="C171" t="n">
        <v>0.74</v>
      </c>
    </row>
    <row r="172">
      <c r="A172" t="inlineStr">
        <is>
          <t>p146</t>
        </is>
      </c>
      <c r="B172" t="inlineStr">
        <is>
          <t>CHORIZO EXTRA</t>
        </is>
      </c>
      <c r="C172" t="n">
        <v>0</v>
      </c>
    </row>
    <row r="173">
      <c r="A173" t="inlineStr">
        <is>
          <t>p147</t>
        </is>
      </c>
      <c r="B173" t="inlineStr">
        <is>
          <t>SALSA TERIYAKI SAKURA 1L</t>
        </is>
      </c>
      <c r="C173" t="n">
        <v>0</v>
      </c>
    </row>
    <row r="174">
      <c r="A174" t="inlineStr">
        <is>
          <t>p148</t>
        </is>
      </c>
      <c r="B174" t="inlineStr">
        <is>
          <t>CUBITON PICADO</t>
        </is>
      </c>
      <c r="C174" t="n">
        <v>0.24</v>
      </c>
    </row>
    <row r="175">
      <c r="A175" t="inlineStr">
        <is>
          <t>p149</t>
        </is>
      </c>
      <c r="B175" t="inlineStr">
        <is>
          <t>BUEN LUGAR GOFIO DE MILLO</t>
        </is>
      </c>
      <c r="C175" t="n">
        <v>0</v>
      </c>
    </row>
    <row r="176">
      <c r="A176" t="inlineStr">
        <is>
          <t>p150</t>
        </is>
      </c>
      <c r="B176" t="inlineStr">
        <is>
          <t>HEINEKEN 1/3 NR LONG NECK</t>
        </is>
      </c>
      <c r="C176" t="n">
        <v>0</v>
      </c>
    </row>
    <row r="177">
      <c r="A177" t="inlineStr">
        <is>
          <t>b26</t>
        </is>
      </c>
      <c r="B177" t="inlineStr">
        <is>
          <t>GARRAFA AGUA 8L</t>
        </is>
      </c>
      <c r="C177" t="n">
        <v>1.67</v>
      </c>
    </row>
    <row r="178">
      <c r="A178" t="inlineStr">
        <is>
          <t>p151</t>
        </is>
      </c>
      <c r="B178" t="inlineStr">
        <is>
          <t>HAMBURGUESA SABROSA 150GR</t>
        </is>
      </c>
      <c r="C178" t="n">
        <v>9.35</v>
      </c>
    </row>
    <row r="179">
      <c r="A179" t="inlineStr">
        <is>
          <t>p152</t>
        </is>
      </c>
      <c r="B179" t="inlineStr">
        <is>
          <t>MANTEQUILLA 1KG CAJA 10KG</t>
        </is>
      </c>
      <c r="C179" t="n">
        <v>10.47</v>
      </c>
    </row>
    <row r="180">
      <c r="A180" t="inlineStr">
        <is>
          <t>p153</t>
        </is>
      </c>
      <c r="B180" t="inlineStr">
        <is>
          <t>CONFITURA FRESA CRISTAL 30 GRS/CJ 48UDS</t>
        </is>
      </c>
      <c r="C180" t="n">
        <v>0</v>
      </c>
    </row>
    <row r="181">
      <c r="A181" t="inlineStr">
        <is>
          <t>p154</t>
        </is>
      </c>
      <c r="B181" t="inlineStr">
        <is>
          <t>PIMENTON PICANTE EXTRA 910GRS</t>
        </is>
      </c>
      <c r="C181" t="n">
        <v>0</v>
      </c>
    </row>
    <row r="182">
      <c r="A182" t="inlineStr">
        <is>
          <t>p155</t>
        </is>
      </c>
      <c r="B182" t="inlineStr">
        <is>
          <t>AJO MOLIDO 710GRS</t>
        </is>
      </c>
      <c r="C182" t="n">
        <v>0</v>
      </c>
    </row>
    <row r="183">
      <c r="A183" t="inlineStr">
        <is>
          <t>p156</t>
        </is>
      </c>
      <c r="B183" t="inlineStr">
        <is>
          <t>CANELA MOLIDA 710GRS</t>
        </is>
      </c>
      <c r="C183" t="n">
        <v>0</v>
      </c>
    </row>
    <row r="184">
      <c r="A184" t="inlineStr">
        <is>
          <t>p157</t>
        </is>
      </c>
      <c r="B184" t="inlineStr">
        <is>
          <t>COLORANTE NATURAL 700GRS</t>
        </is>
      </c>
      <c r="C184" t="n">
        <v>0</v>
      </c>
    </row>
    <row r="185">
      <c r="A185" t="inlineStr">
        <is>
          <t>p158</t>
        </is>
      </c>
      <c r="B185" t="inlineStr">
        <is>
          <t>SAL YODADA 1000X1GR MONODOSIS</t>
        </is>
      </c>
      <c r="C185" t="n">
        <v>0</v>
      </c>
    </row>
    <row r="186">
      <c r="A186" t="inlineStr">
        <is>
          <t>p159</t>
        </is>
      </c>
      <c r="B186" t="inlineStr">
        <is>
          <t>PIMIENTA NEGRA MOLIDA 1000X2GRS MONODOSIS</t>
        </is>
      </c>
      <c r="C186" t="n">
        <v>0</v>
      </c>
    </row>
    <row r="187">
      <c r="A187" t="inlineStr">
        <is>
          <t>p160</t>
        </is>
      </c>
      <c r="B187" t="inlineStr">
        <is>
          <t>ACEITE GIRASOL 5L</t>
        </is>
      </c>
      <c r="C187" t="n">
        <v>9.69</v>
      </c>
    </row>
    <row r="188">
      <c r="A188" t="inlineStr">
        <is>
          <t>p161</t>
        </is>
      </c>
      <c r="B188" t="inlineStr">
        <is>
          <t>ACEITE OLIVA SUAVE 5L</t>
        </is>
      </c>
      <c r="C188" t="n">
        <v>28.9</v>
      </c>
    </row>
    <row r="189">
      <c r="A189" t="inlineStr">
        <is>
          <t>p162</t>
        </is>
      </c>
      <c r="B189" t="inlineStr">
        <is>
          <t>CONFITURA MELOCOTON CRISTAL 30GRS/CJ 48UD</t>
        </is>
      </c>
      <c r="C189" t="n">
        <v>0</v>
      </c>
    </row>
    <row r="190">
      <c r="A190" t="inlineStr">
        <is>
          <t>p163</t>
        </is>
      </c>
      <c r="B190" t="inlineStr">
        <is>
          <t>VINAGRE DE MANZANA 500ML</t>
        </is>
      </c>
      <c r="C190" t="n">
        <v>1.46</v>
      </c>
    </row>
    <row r="191">
      <c r="A191" t="inlineStr">
        <is>
          <t>p164</t>
        </is>
      </c>
      <c r="B191" t="inlineStr">
        <is>
          <t>PASAS SULTANAS 5KG</t>
        </is>
      </c>
      <c r="C191" t="n">
        <v>6.12</v>
      </c>
    </row>
    <row r="192">
      <c r="A192" t="inlineStr">
        <is>
          <t>p165</t>
        </is>
      </c>
      <c r="B192" t="inlineStr">
        <is>
          <t>SALSA SOJA 1L</t>
        </is>
      </c>
      <c r="C192" t="n">
        <v>6.07</v>
      </c>
    </row>
    <row r="193">
      <c r="A193" t="inlineStr">
        <is>
          <t>b27</t>
        </is>
      </c>
      <c r="B193" t="inlineStr">
        <is>
          <t>ZUMO DE TOMATE 850ML</t>
        </is>
      </c>
      <c r="C193" t="n">
        <v>0</v>
      </c>
    </row>
    <row r="194">
      <c r="A194" t="inlineStr">
        <is>
          <t>b28</t>
        </is>
      </c>
      <c r="B194" t="inlineStr">
        <is>
          <t>ZUMO NARANJA 1L BRIK</t>
        </is>
      </c>
      <c r="C194" t="n">
        <v>1.51</v>
      </c>
    </row>
    <row r="195">
      <c r="A195" t="inlineStr">
        <is>
          <t>b29</t>
        </is>
      </c>
      <c r="B195" t="inlineStr">
        <is>
          <t>CRISPIES HINCHADOS CHOCOLATEADOS 1KG</t>
        </is>
      </c>
      <c r="C195" t="n">
        <v>4.03</v>
      </c>
    </row>
    <row r="196">
      <c r="A196" t="inlineStr">
        <is>
          <t>p166</t>
        </is>
      </c>
      <c r="B196" t="inlineStr">
        <is>
          <t>TARTA ZANAHORIA</t>
        </is>
      </c>
      <c r="C196" t="n">
        <v>0</v>
      </c>
    </row>
    <row r="197">
      <c r="A197" t="inlineStr">
        <is>
          <t>p167</t>
        </is>
      </c>
      <c r="B197" t="inlineStr">
        <is>
          <t>LOMO DE BACALAO C/P</t>
        </is>
      </c>
      <c r="C197" t="n">
        <v>6.95</v>
      </c>
    </row>
    <row r="198">
      <c r="A198" t="inlineStr">
        <is>
          <t>p168</t>
        </is>
      </c>
      <c r="B198" t="inlineStr">
        <is>
          <t>QUESO GOUDA BARRA</t>
        </is>
      </c>
      <c r="C198" t="n">
        <v>7.36</v>
      </c>
    </row>
    <row r="199">
      <c r="A199" t="inlineStr">
        <is>
          <t>p169</t>
        </is>
      </c>
      <c r="B199" t="inlineStr">
        <is>
          <t>QUESO EMMENTAL LONCHAS</t>
        </is>
      </c>
      <c r="C199" t="n">
        <v>0</v>
      </c>
    </row>
    <row r="200">
      <c r="A200" t="inlineStr">
        <is>
          <t>p170</t>
        </is>
      </c>
      <c r="B200" t="inlineStr">
        <is>
          <t>YONATUR NATURAL CUBO 10LTS</t>
        </is>
      </c>
      <c r="C200" t="n">
        <v>12.61</v>
      </c>
    </row>
    <row r="201">
      <c r="A201" t="inlineStr">
        <is>
          <t>p171</t>
        </is>
      </c>
      <c r="B201" t="inlineStr">
        <is>
          <t>QUESO RALLADO FUNDIR</t>
        </is>
      </c>
      <c r="C201" t="n">
        <v>0</v>
      </c>
    </row>
    <row r="202">
      <c r="A202" t="inlineStr">
        <is>
          <t>p172</t>
        </is>
      </c>
      <c r="B202" t="inlineStr">
        <is>
          <t>NECTARINA</t>
        </is>
      </c>
      <c r="C202" t="n">
        <v>0</v>
      </c>
    </row>
    <row r="203">
      <c r="A203" t="inlineStr">
        <is>
          <t>p173</t>
        </is>
      </c>
      <c r="B203" t="inlineStr">
        <is>
          <t>TARTA DE QUESO</t>
        </is>
      </c>
      <c r="C203" t="n">
        <v>2.5</v>
      </c>
    </row>
    <row r="204">
      <c r="A204" t="inlineStr">
        <is>
          <t>p174</t>
        </is>
      </c>
      <c r="B204" t="inlineStr">
        <is>
          <t>PAPA ARRUGAR</t>
        </is>
      </c>
      <c r="C204" t="n">
        <v>2</v>
      </c>
    </row>
    <row r="205">
      <c r="A205" t="inlineStr">
        <is>
          <t>p175</t>
        </is>
      </c>
      <c r="B205" t="inlineStr">
        <is>
          <t>CALABACIN</t>
        </is>
      </c>
      <c r="C205" t="n">
        <v>1.5</v>
      </c>
    </row>
    <row r="206">
      <c r="A206" t="inlineStr">
        <is>
          <t>p176</t>
        </is>
      </c>
      <c r="B206" t="inlineStr">
        <is>
          <t>CONFITURA NARANJA CRISTAL 30GRS/CJ 48 UD</t>
        </is>
      </c>
      <c r="C206" t="n">
        <v>0</v>
      </c>
    </row>
    <row r="207">
      <c r="A207" t="inlineStr">
        <is>
          <t>p177</t>
        </is>
      </c>
      <c r="B207" t="inlineStr">
        <is>
          <t>BERENJENA</t>
        </is>
      </c>
      <c r="C207" t="n">
        <v>1.51</v>
      </c>
    </row>
    <row r="208">
      <c r="A208" t="inlineStr">
        <is>
          <t>p178</t>
        </is>
      </c>
      <c r="B208" t="inlineStr">
        <is>
          <t>CEBOLLINO</t>
        </is>
      </c>
      <c r="C208" t="n">
        <v>0</v>
      </c>
    </row>
    <row r="209">
      <c r="A209" t="inlineStr">
        <is>
          <t>p179</t>
        </is>
      </c>
      <c r="B209" t="inlineStr">
        <is>
          <t>PIMIENTA ROJA PICANTE CHILE</t>
        </is>
      </c>
      <c r="C209" t="n">
        <v>0</v>
      </c>
    </row>
    <row r="210">
      <c r="A210" t="inlineStr">
        <is>
          <t>p180</t>
        </is>
      </c>
      <c r="B210" t="inlineStr">
        <is>
          <t>MANDARINAS</t>
        </is>
      </c>
      <c r="C210" t="n">
        <v>0</v>
      </c>
    </row>
    <row r="211">
      <c r="A211" t="inlineStr">
        <is>
          <t>p181</t>
        </is>
      </c>
      <c r="B211" t="inlineStr">
        <is>
          <t>LECHUGA ROMANA</t>
        </is>
      </c>
      <c r="C211" t="n">
        <v>1.59</v>
      </c>
    </row>
    <row r="212">
      <c r="A212" t="inlineStr">
        <is>
          <t>p182</t>
        </is>
      </c>
      <c r="B212" t="inlineStr">
        <is>
          <t>MENTA</t>
        </is>
      </c>
      <c r="C212" t="n">
        <v>0.02</v>
      </c>
    </row>
    <row r="213">
      <c r="A213" t="inlineStr">
        <is>
          <t>p183</t>
        </is>
      </c>
      <c r="B213" t="inlineStr">
        <is>
          <t>PUERROS</t>
        </is>
      </c>
      <c r="C213" t="n">
        <v>1.93</v>
      </c>
    </row>
    <row r="214">
      <c r="A214" t="inlineStr">
        <is>
          <t>p184</t>
        </is>
      </c>
      <c r="B214" t="inlineStr">
        <is>
          <t>PAPA DEL PAIS</t>
        </is>
      </c>
      <c r="C214" t="n">
        <v>1.97</v>
      </c>
    </row>
    <row r="215">
      <c r="A215" t="inlineStr">
        <is>
          <t>p185</t>
        </is>
      </c>
      <c r="B215" t="inlineStr">
        <is>
          <t>ESPINACAS</t>
        </is>
      </c>
      <c r="C215" t="n">
        <v>0.4</v>
      </c>
    </row>
    <row r="216">
      <c r="A216" t="inlineStr">
        <is>
          <t>p186</t>
        </is>
      </c>
      <c r="B216" t="inlineStr">
        <is>
          <t>EL GRIFO ROSADO DE LAGRIMA 2021</t>
        </is>
      </c>
      <c r="C216" t="n">
        <v>0</v>
      </c>
    </row>
    <row r="217">
      <c r="A217" t="inlineStr">
        <is>
          <t>p187</t>
        </is>
      </c>
      <c r="B217" t="inlineStr">
        <is>
          <t>ARTIS MINI ARLEQUIN 160UD 40GRS</t>
        </is>
      </c>
      <c r="C217" t="n">
        <v>0</v>
      </c>
    </row>
    <row r="218">
      <c r="A218" t="inlineStr">
        <is>
          <t>p188</t>
        </is>
      </c>
      <c r="B218" t="inlineStr">
        <is>
          <t>COPOS AVENA</t>
        </is>
      </c>
      <c r="C218" t="n">
        <v>0</v>
      </c>
    </row>
    <row r="219">
      <c r="A219" t="inlineStr">
        <is>
          <t>p189</t>
        </is>
      </c>
      <c r="B219" t="inlineStr">
        <is>
          <t>ESPARRAGOS TRIGUEROS</t>
        </is>
      </c>
      <c r="C219" t="n">
        <v>3.7</v>
      </c>
    </row>
    <row r="220">
      <c r="A220" t="inlineStr">
        <is>
          <t>p190</t>
        </is>
      </c>
      <c r="B220" t="inlineStr">
        <is>
          <t>MELOCOTON</t>
        </is>
      </c>
      <c r="C220" t="n">
        <v>0</v>
      </c>
    </row>
    <row r="221">
      <c r="A221" t="inlineStr">
        <is>
          <t>p191</t>
        </is>
      </c>
      <c r="B221" t="inlineStr">
        <is>
          <t>MINI TRENZA MPCAN 100UD 40GRS</t>
        </is>
      </c>
      <c r="C221" t="n">
        <v>0.58</v>
      </c>
    </row>
    <row r="222">
      <c r="A222" t="inlineStr">
        <is>
          <t>p192</t>
        </is>
      </c>
      <c r="B222" t="inlineStr">
        <is>
          <t>TE FRUTAS DEL BOSQUE 25</t>
        </is>
      </c>
      <c r="C222" t="n">
        <v>0.05</v>
      </c>
    </row>
    <row r="223">
      <c r="A223" t="inlineStr">
        <is>
          <t>p193</t>
        </is>
      </c>
      <c r="B223" t="inlineStr">
        <is>
          <t>BIENMESABE 1KG</t>
        </is>
      </c>
      <c r="C223" t="n">
        <v>0</v>
      </c>
    </row>
    <row r="224">
      <c r="A224" t="inlineStr">
        <is>
          <t>p194</t>
        </is>
      </c>
      <c r="B224" t="inlineStr">
        <is>
          <t>HELADO DE FRESA 5L</t>
        </is>
      </c>
      <c r="C224" t="n">
        <v>20.05</v>
      </c>
    </row>
    <row r="225">
      <c r="A225" t="inlineStr">
        <is>
          <t>b30</t>
        </is>
      </c>
      <c r="B225" t="inlineStr">
        <is>
          <t>RON CARTA BLANCA BACARDI BOT 5CL</t>
        </is>
      </c>
      <c r="C225" t="n">
        <v>1.1</v>
      </c>
    </row>
    <row r="226">
      <c r="A226" t="inlineStr">
        <is>
          <t>b31</t>
        </is>
      </c>
      <c r="B226" t="inlineStr">
        <is>
          <t>WHISKY BALLANTINES BOT 5CL</t>
        </is>
      </c>
      <c r="C226" t="n">
        <v>1.26</v>
      </c>
    </row>
    <row r="227">
      <c r="A227" t="inlineStr">
        <is>
          <t>p195</t>
        </is>
      </c>
      <c r="B227" t="inlineStr">
        <is>
          <t>TOALLITA LIMON STD</t>
        </is>
      </c>
      <c r="C227" t="n">
        <v>0.06</v>
      </c>
    </row>
    <row r="228">
      <c r="A228" t="inlineStr">
        <is>
          <t>b32</t>
        </is>
      </c>
      <c r="B228" t="inlineStr">
        <is>
          <t>CERVEZA ESTRELLA GALICIA 20CL</t>
        </is>
      </c>
      <c r="C228" t="n">
        <v>0</v>
      </c>
    </row>
    <row r="229">
      <c r="A229" t="inlineStr">
        <is>
          <t>b33</t>
        </is>
      </c>
      <c r="B229" t="inlineStr">
        <is>
          <t>RON AREHUCAS CARTA ORO 1L</t>
        </is>
      </c>
      <c r="C229" t="n">
        <v>10.05</v>
      </c>
    </row>
    <row r="230">
      <c r="A230" t="inlineStr">
        <is>
          <t>b34</t>
        </is>
      </c>
      <c r="B230" t="inlineStr">
        <is>
          <t>CERVEZA CORONA BOT 35,5CL</t>
        </is>
      </c>
      <c r="C230" t="n">
        <v>1.04</v>
      </c>
    </row>
    <row r="231">
      <c r="A231" t="inlineStr">
        <is>
          <t>b35</t>
        </is>
      </c>
      <c r="B231" t="inlineStr">
        <is>
          <t>CERVEZA DORADA ESPECIAL NEGRA 33CL</t>
        </is>
      </c>
      <c r="C231" t="n">
        <v>0.86</v>
      </c>
    </row>
    <row r="232">
      <c r="A232" t="inlineStr">
        <is>
          <t>b36</t>
        </is>
      </c>
      <c r="B232" t="inlineStr">
        <is>
          <t>CERVEZA ESTRELLA GALICIA 0,0 25CL</t>
        </is>
      </c>
      <c r="C232" t="n">
        <v>0.52</v>
      </c>
    </row>
    <row r="233">
      <c r="A233" t="inlineStr">
        <is>
          <t>b37</t>
        </is>
      </c>
      <c r="B233" t="inlineStr">
        <is>
          <t>CERVEZA ESTRELLA DAMM 25CL</t>
        </is>
      </c>
      <c r="C233" t="n">
        <v>0.52</v>
      </c>
    </row>
    <row r="234">
      <c r="A234" t="inlineStr">
        <is>
          <t>p196</t>
        </is>
      </c>
      <c r="B234" t="inlineStr">
        <is>
          <t>MARTINI BIANCO 1L</t>
        </is>
      </c>
      <c r="C234" t="n">
        <v>7.08</v>
      </c>
    </row>
    <row r="235">
      <c r="A235" t="inlineStr">
        <is>
          <t>p197</t>
        </is>
      </c>
      <c r="B235" t="inlineStr">
        <is>
          <t>MARTINI ROSSO 1L</t>
        </is>
      </c>
      <c r="C235" t="n">
        <v>4.96</v>
      </c>
    </row>
    <row r="236">
      <c r="A236" t="inlineStr">
        <is>
          <t>b38</t>
        </is>
      </c>
      <c r="B236" t="inlineStr">
        <is>
          <t>RON AREHUCAS CARTA BLANCA 1L</t>
        </is>
      </c>
      <c r="C236" t="n">
        <v>10.1</v>
      </c>
    </row>
    <row r="237">
      <c r="A237" t="inlineStr">
        <is>
          <t>p198</t>
        </is>
      </c>
      <c r="B237" t="inlineStr">
        <is>
          <t>SAMBUCA GIAROLA 70CL</t>
        </is>
      </c>
      <c r="C237" t="n">
        <v>6.65</v>
      </c>
    </row>
    <row r="238">
      <c r="A238" t="inlineStr">
        <is>
          <t>b39</t>
        </is>
      </c>
      <c r="B238" t="inlineStr">
        <is>
          <t>VODKA GREY GOOSE 70CL</t>
        </is>
      </c>
      <c r="C238" t="n">
        <v>39.12</v>
      </c>
    </row>
    <row r="239">
      <c r="A239" t="inlineStr">
        <is>
          <t>p199</t>
        </is>
      </c>
      <c r="B239" t="inlineStr">
        <is>
          <t>BATIDA MANGAROCA COCO 70CL</t>
        </is>
      </c>
      <c r="C239" t="n">
        <v>9.6</v>
      </c>
    </row>
    <row r="240">
      <c r="A240" t="inlineStr">
        <is>
          <t>p200</t>
        </is>
      </c>
      <c r="B240" t="inlineStr">
        <is>
          <t>MUESLI FRUTOS ROJOS S/G</t>
        </is>
      </c>
      <c r="C240" t="n">
        <v>0</v>
      </c>
    </row>
    <row r="241">
      <c r="A241" t="inlineStr">
        <is>
          <t>p201</t>
        </is>
      </c>
      <c r="B241" t="inlineStr">
        <is>
          <t>NECTAR BRIK FRUTAS TROPICALES 1L</t>
        </is>
      </c>
      <c r="C241" t="n">
        <v>1.05</v>
      </c>
    </row>
    <row r="242">
      <c r="A242" t="inlineStr">
        <is>
          <t>p202</t>
        </is>
      </c>
      <c r="B242" t="inlineStr">
        <is>
          <t>NECTAR DE LIMON CRISTAL 850ML</t>
        </is>
      </c>
      <c r="C242" t="n">
        <v>1.46</v>
      </c>
    </row>
    <row r="243">
      <c r="A243" t="inlineStr">
        <is>
          <t>p203</t>
        </is>
      </c>
      <c r="B243" t="inlineStr">
        <is>
          <t>SALSA LEA &amp; PERRINS 2L</t>
        </is>
      </c>
      <c r="C243" t="n">
        <v>3.21</v>
      </c>
    </row>
    <row r="244">
      <c r="A244" t="inlineStr">
        <is>
          <t>p204</t>
        </is>
      </c>
      <c r="B244" t="inlineStr">
        <is>
          <t>BANDAMA CUBANITOS 90GRS</t>
        </is>
      </c>
      <c r="C244" t="n">
        <v>0</v>
      </c>
    </row>
    <row r="245">
      <c r="A245" t="inlineStr">
        <is>
          <t>p205</t>
        </is>
      </c>
      <c r="B245" t="inlineStr">
        <is>
          <t>ARROZ GRANO LARGO 1KG</t>
        </is>
      </c>
      <c r="C245" t="n">
        <v>1.92</v>
      </c>
    </row>
    <row r="246">
      <c r="A246" t="inlineStr">
        <is>
          <t>p206</t>
        </is>
      </c>
      <c r="B246" t="inlineStr">
        <is>
          <t>ACEITE OLIVA VIRGEN EXTRA 250ML</t>
        </is>
      </c>
      <c r="C246" t="n">
        <v>2.5</v>
      </c>
    </row>
    <row r="247">
      <c r="A247" t="inlineStr">
        <is>
          <t>p207</t>
        </is>
      </c>
      <c r="B247" t="inlineStr">
        <is>
          <t>PAN RALLADO 500GRS</t>
        </is>
      </c>
      <c r="C247" t="n">
        <v>1.12</v>
      </c>
    </row>
    <row r="248">
      <c r="A248" t="inlineStr">
        <is>
          <t>p208</t>
        </is>
      </c>
      <c r="B248" t="inlineStr">
        <is>
          <t>CREMA CACAO 60X15GRS NUTELLA</t>
        </is>
      </c>
      <c r="C248" t="n">
        <v>0.23</v>
      </c>
    </row>
    <row r="249">
      <c r="A249" t="inlineStr">
        <is>
          <t>p209</t>
        </is>
      </c>
      <c r="B249" t="inlineStr">
        <is>
          <t>CREMA LECHE 240X7GRS</t>
        </is>
      </c>
      <c r="C249" t="n">
        <v>0.04</v>
      </c>
    </row>
    <row r="250">
      <c r="A250" t="inlineStr">
        <is>
          <t>p210</t>
        </is>
      </c>
      <c r="B250" t="inlineStr">
        <is>
          <t>NATA ORIGINAL BRIK 1L</t>
        </is>
      </c>
      <c r="C250" t="n">
        <v>2.5</v>
      </c>
    </row>
    <row r="251">
      <c r="A251" t="inlineStr">
        <is>
          <t>p211</t>
        </is>
      </c>
      <c r="B251" t="inlineStr">
        <is>
          <t>ACEITE EXT VIRGEN ESENCIA ROMERO 250ML</t>
        </is>
      </c>
      <c r="C251" t="n">
        <v>0</v>
      </c>
    </row>
    <row r="252">
      <c r="A252" t="inlineStr">
        <is>
          <t>p212</t>
        </is>
      </c>
      <c r="B252" t="inlineStr">
        <is>
          <t>ACEITE EXT VIRGEN ESENCIA AJO 250ML</t>
        </is>
      </c>
      <c r="C252" t="n">
        <v>3.46</v>
      </c>
    </row>
    <row r="253">
      <c r="A253" t="inlineStr">
        <is>
          <t>p213</t>
        </is>
      </c>
      <c r="B253" t="inlineStr">
        <is>
          <t>ACEITE EXT VIRGEN ESENCIA TRUFA 250ML</t>
        </is>
      </c>
      <c r="C253" t="n">
        <v>4.04</v>
      </c>
    </row>
    <row r="254">
      <c r="A254" t="inlineStr">
        <is>
          <t>p214</t>
        </is>
      </c>
      <c r="B254" t="inlineStr">
        <is>
          <t>HARINA TRIGO 1KG</t>
        </is>
      </c>
      <c r="C254" t="n">
        <v>1.16</v>
      </c>
    </row>
    <row r="255">
      <c r="A255" t="inlineStr">
        <is>
          <t>p215</t>
        </is>
      </c>
      <c r="B255" t="inlineStr">
        <is>
          <t>SALSA BROWN HP 255GRS</t>
        </is>
      </c>
      <c r="C255" t="n">
        <v>2.46</v>
      </c>
    </row>
    <row r="256">
      <c r="A256" t="inlineStr">
        <is>
          <t>p216</t>
        </is>
      </c>
      <c r="B256" t="inlineStr">
        <is>
          <t>GALLINA BLANCA SALSA PIMIENTA</t>
        </is>
      </c>
      <c r="C256" t="n">
        <v>0</v>
      </c>
    </row>
    <row r="257">
      <c r="A257" t="inlineStr">
        <is>
          <t>p217</t>
        </is>
      </c>
      <c r="B257" t="inlineStr">
        <is>
          <t>OREGANO BOTE 160GRS</t>
        </is>
      </c>
      <c r="C257" t="n">
        <v>0</v>
      </c>
    </row>
    <row r="258">
      <c r="A258" t="inlineStr">
        <is>
          <t>p218</t>
        </is>
      </c>
      <c r="B258" t="inlineStr">
        <is>
          <t>TOMILLO HOJA 310GRS</t>
        </is>
      </c>
      <c r="C258" t="n">
        <v>0</v>
      </c>
    </row>
    <row r="259">
      <c r="A259" t="inlineStr">
        <is>
          <t>p219</t>
        </is>
      </c>
      <c r="B259" t="inlineStr">
        <is>
          <t>LAUREL HOJA 120GRS</t>
        </is>
      </c>
      <c r="C259" t="n">
        <v>0</v>
      </c>
    </row>
    <row r="260">
      <c r="A260" t="inlineStr">
        <is>
          <t>p220</t>
        </is>
      </c>
      <c r="B260" t="inlineStr">
        <is>
          <t>PIMIENTA BLANCA MOLIDA 910GRS</t>
        </is>
      </c>
      <c r="C260" t="n">
        <v>0</v>
      </c>
    </row>
    <row r="261">
      <c r="A261" t="inlineStr">
        <is>
          <t>p221</t>
        </is>
      </c>
      <c r="B261" t="inlineStr">
        <is>
          <t>MAIZENA EXPRESS CLARA 1KG</t>
        </is>
      </c>
      <c r="C261" t="n">
        <v>13.96</v>
      </c>
    </row>
    <row r="262">
      <c r="A262" t="inlineStr">
        <is>
          <t>p222</t>
        </is>
      </c>
      <c r="B262" t="inlineStr">
        <is>
          <t>AZUCAR BLANCA 1KG</t>
        </is>
      </c>
      <c r="C262" t="n">
        <v>1.42</v>
      </c>
    </row>
    <row r="263">
      <c r="A263" t="inlineStr">
        <is>
          <t>p223</t>
        </is>
      </c>
      <c r="B263" t="inlineStr">
        <is>
          <t>AZUCAR GLASS 2,5KG</t>
        </is>
      </c>
      <c r="C263" t="n">
        <v>5.75</v>
      </c>
    </row>
    <row r="264">
      <c r="A264" t="inlineStr">
        <is>
          <t>p224</t>
        </is>
      </c>
      <c r="B264" t="inlineStr">
        <is>
          <t>SALSA COCKTAIL</t>
        </is>
      </c>
      <c r="C264" t="n">
        <v>0</v>
      </c>
    </row>
    <row r="265">
      <c r="A265" t="inlineStr">
        <is>
          <t>p225</t>
        </is>
      </c>
      <c r="B265" t="inlineStr">
        <is>
          <t>MOSTAZA DIJON 215GRS</t>
        </is>
      </c>
      <c r="C265" t="n">
        <v>0</v>
      </c>
    </row>
    <row r="266">
      <c r="A266" t="inlineStr">
        <is>
          <t>p226</t>
        </is>
      </c>
      <c r="B266" t="inlineStr">
        <is>
          <t>CREMA VINAGRE BALSAMICO MODENA 380GRS</t>
        </is>
      </c>
      <c r="C266" t="n">
        <v>1.77</v>
      </c>
    </row>
    <row r="267">
      <c r="A267" t="inlineStr">
        <is>
          <t>p227</t>
        </is>
      </c>
      <c r="B267" t="inlineStr">
        <is>
          <t>LINGUINE</t>
        </is>
      </c>
      <c r="C267" t="n">
        <v>0</v>
      </c>
    </row>
    <row r="268">
      <c r="A268" t="inlineStr">
        <is>
          <t>p228</t>
        </is>
      </c>
      <c r="B268" t="inlineStr">
        <is>
          <t>TOMATE FRITO 500GRS</t>
        </is>
      </c>
      <c r="C268" t="n">
        <v>0.86</v>
      </c>
    </row>
    <row r="269">
      <c r="A269" t="inlineStr">
        <is>
          <t>p229</t>
        </is>
      </c>
      <c r="B269" t="inlineStr">
        <is>
          <t>LENTEJA LANZAROTE 1KG</t>
        </is>
      </c>
      <c r="C269" t="n">
        <v>2.48</v>
      </c>
    </row>
    <row r="270">
      <c r="A270" t="inlineStr">
        <is>
          <t>p230</t>
        </is>
      </c>
      <c r="B270" t="inlineStr">
        <is>
          <t>TOMATE TRITURADO 5KG</t>
        </is>
      </c>
      <c r="C270" t="n">
        <v>0</v>
      </c>
    </row>
    <row r="271">
      <c r="A271" t="inlineStr">
        <is>
          <t>b40</t>
        </is>
      </c>
      <c r="B271" t="inlineStr">
        <is>
          <t>MACARRON RAYADO 450GRS</t>
        </is>
      </c>
      <c r="C271" t="n">
        <v>0.88</v>
      </c>
    </row>
    <row r="272">
      <c r="A272" t="inlineStr">
        <is>
          <t>b41</t>
        </is>
      </c>
      <c r="B272" t="inlineStr">
        <is>
          <t>VINO BLANCO BRIK 1L</t>
        </is>
      </c>
      <c r="C272" t="n">
        <v>0</v>
      </c>
    </row>
    <row r="273">
      <c r="A273" t="inlineStr">
        <is>
          <t>b42</t>
        </is>
      </c>
      <c r="B273" t="inlineStr">
        <is>
          <t>VINO TINTO BRIK 1L</t>
        </is>
      </c>
      <c r="C273" t="n">
        <v>0.47</v>
      </c>
    </row>
    <row r="274">
      <c r="A274" t="inlineStr">
        <is>
          <t>p231</t>
        </is>
      </c>
      <c r="B274" t="inlineStr">
        <is>
          <t>ATUN EN ACEITE GIRASOL</t>
        </is>
      </c>
      <c r="C274" t="n">
        <v>5.97</v>
      </c>
    </row>
    <row r="275">
      <c r="A275" t="inlineStr">
        <is>
          <t>p232</t>
        </is>
      </c>
      <c r="B275" t="inlineStr">
        <is>
          <t>COMINO MOLIDO 810GRS</t>
        </is>
      </c>
      <c r="C275" t="n">
        <v>0</v>
      </c>
    </row>
    <row r="276">
      <c r="A276" t="inlineStr">
        <is>
          <t>p233</t>
        </is>
      </c>
      <c r="B276" t="inlineStr">
        <is>
          <t>CAYENA GUINDILLA ENTERA 160GRS</t>
        </is>
      </c>
      <c r="C276" t="n">
        <v>0</v>
      </c>
    </row>
    <row r="277">
      <c r="A277" t="inlineStr">
        <is>
          <t>b43</t>
        </is>
      </c>
      <c r="B277" t="inlineStr">
        <is>
          <t>BEBIDA DE AVENA BRIK 1L</t>
        </is>
      </c>
      <c r="C277" t="n">
        <v>1.11</v>
      </c>
    </row>
    <row r="278">
      <c r="A278" t="inlineStr">
        <is>
          <t>p234</t>
        </is>
      </c>
      <c r="B278" t="inlineStr">
        <is>
          <t>MONTECILLO CRIANZA 75CL</t>
        </is>
      </c>
      <c r="C278" t="n">
        <v>4.95</v>
      </c>
    </row>
    <row r="279">
      <c r="A279" t="inlineStr">
        <is>
          <t>p235</t>
        </is>
      </c>
      <c r="B279" t="inlineStr">
        <is>
          <t>MONTECILLO RESERVA 75CL</t>
        </is>
      </c>
      <c r="C279" t="n">
        <v>8.24</v>
      </c>
    </row>
    <row r="280">
      <c r="A280" t="inlineStr">
        <is>
          <t>p236</t>
        </is>
      </c>
      <c r="B280" t="inlineStr">
        <is>
          <t>MONTECILLO BLANCO 75CL</t>
        </is>
      </c>
      <c r="C280" t="n">
        <v>6.75</v>
      </c>
    </row>
    <row r="281">
      <c r="A281" t="inlineStr">
        <is>
          <t>p237</t>
        </is>
      </c>
      <c r="B281" t="inlineStr">
        <is>
          <t>MONTECILLO ROSADO 75CL</t>
        </is>
      </c>
      <c r="C281" t="n">
        <v>5.1</v>
      </c>
    </row>
    <row r="282">
      <c r="A282" t="inlineStr">
        <is>
          <t>b44</t>
        </is>
      </c>
      <c r="B282" t="inlineStr">
        <is>
          <t>CHAMPAGNE PIPER HEIDSIECK BRUT CUVEE 750CC</t>
        </is>
      </c>
      <c r="C282" t="n">
        <v>29.31</v>
      </c>
    </row>
    <row r="283">
      <c r="A283" t="inlineStr">
        <is>
          <t>b45</t>
        </is>
      </c>
      <c r="B283" t="inlineStr">
        <is>
          <t>CHAMPAGNE PIPER HEIDSIECK ROSE SAUVAGE 750CC</t>
        </is>
      </c>
      <c r="C283" t="n">
        <v>31.83</v>
      </c>
    </row>
    <row r="284">
      <c r="A284" t="inlineStr">
        <is>
          <t>b46</t>
        </is>
      </c>
      <c r="B284" t="inlineStr">
        <is>
          <t>RON AÑEJO CLASICO 5 FLOR CAÑA 700CC</t>
        </is>
      </c>
      <c r="C284" t="n">
        <v>11.8</v>
      </c>
    </row>
    <row r="285">
      <c r="A285" t="inlineStr">
        <is>
          <t>b47</t>
        </is>
      </c>
      <c r="B285" t="inlineStr">
        <is>
          <t>RON GRAN RESERVA 7 FLOR DE CAÑA 700CC</t>
        </is>
      </c>
      <c r="C285" t="n">
        <v>0</v>
      </c>
    </row>
    <row r="286">
      <c r="A286" t="inlineStr">
        <is>
          <t>p238</t>
        </is>
      </c>
      <c r="B286" t="inlineStr">
        <is>
          <t>PROFITEROLES 2KG</t>
        </is>
      </c>
      <c r="C286" t="n">
        <v>10.68</v>
      </c>
    </row>
    <row r="287">
      <c r="A287" t="inlineStr">
        <is>
          <t>b48</t>
        </is>
      </c>
      <c r="B287" t="inlineStr">
        <is>
          <t>TIRMA AMBROSIA CHOCOLATE - LECHE</t>
        </is>
      </c>
      <c r="C287" t="n">
        <v>0</v>
      </c>
    </row>
    <row r="288">
      <c r="A288" t="inlineStr">
        <is>
          <t>p239</t>
        </is>
      </c>
      <c r="B288" t="inlineStr">
        <is>
          <t>GUISANTES 4X2,5KG</t>
        </is>
      </c>
      <c r="C288" t="n">
        <v>0</v>
      </c>
    </row>
    <row r="289">
      <c r="A289" t="inlineStr">
        <is>
          <t>b49</t>
        </is>
      </c>
      <c r="B289" t="inlineStr">
        <is>
          <t>ZUMO MANZANA</t>
        </is>
      </c>
      <c r="C289" t="n">
        <v>1.6</v>
      </c>
    </row>
    <row r="290">
      <c r="A290" t="inlineStr">
        <is>
          <t>p240</t>
        </is>
      </c>
      <c r="B290" t="inlineStr">
        <is>
          <t>CV ROGER DE FLOR BN</t>
        </is>
      </c>
      <c r="C290" t="n">
        <v>2.98</v>
      </c>
    </row>
    <row r="291">
      <c r="A291" t="inlineStr">
        <is>
          <t>b50</t>
        </is>
      </c>
      <c r="B291" t="inlineStr">
        <is>
          <t>BRANDY JEREZ CARLOS I 40º</t>
        </is>
      </c>
      <c r="C291" t="n">
        <v>24.1</v>
      </c>
    </row>
    <row r="292">
      <c r="A292" t="inlineStr">
        <is>
          <t>p241</t>
        </is>
      </c>
      <c r="B292" t="inlineStr">
        <is>
          <t>TANQUERAY LONDON GIN</t>
        </is>
      </c>
      <c r="C292" t="n">
        <v>11.85</v>
      </c>
    </row>
    <row r="293">
      <c r="A293" t="inlineStr">
        <is>
          <t>p242</t>
        </is>
      </c>
      <c r="B293" t="inlineStr">
        <is>
          <t>CAMPARI 25º 1L</t>
        </is>
      </c>
      <c r="C293" t="n">
        <v>14.05</v>
      </c>
    </row>
    <row r="294">
      <c r="A294" t="inlineStr">
        <is>
          <t>p243</t>
        </is>
      </c>
      <c r="B294" t="inlineStr">
        <is>
          <t>JAGERMEISTER 35º 1L</t>
        </is>
      </c>
      <c r="C294" t="n">
        <v>0</v>
      </c>
    </row>
    <row r="295">
      <c r="A295" t="inlineStr">
        <is>
          <t>p244</t>
        </is>
      </c>
      <c r="B295" t="inlineStr">
        <is>
          <t>MARIA BRIZARD 25º 1L</t>
        </is>
      </c>
      <c r="C295" t="n">
        <v>0</v>
      </c>
    </row>
    <row r="296">
      <c r="A296" t="inlineStr">
        <is>
          <t>b51</t>
        </is>
      </c>
      <c r="B296" t="inlineStr">
        <is>
          <t>TEQUILA JALISCO SILVER 35º 70CL</t>
        </is>
      </c>
      <c r="C296" t="n">
        <v>1.57</v>
      </c>
    </row>
    <row r="297">
      <c r="A297" t="inlineStr">
        <is>
          <t>b52</t>
        </is>
      </c>
      <c r="B297" t="inlineStr">
        <is>
          <t>BRANDY JEREZ RVA MAGNO 70CL</t>
        </is>
      </c>
      <c r="C297" t="n">
        <v>0</v>
      </c>
    </row>
    <row r="298">
      <c r="A298" t="inlineStr">
        <is>
          <t>p245</t>
        </is>
      </c>
      <c r="B298" t="inlineStr">
        <is>
          <t>JARABE DE AZUCAR SANZ 1L</t>
        </is>
      </c>
      <c r="C298" t="n">
        <v>6.49</v>
      </c>
    </row>
    <row r="299">
      <c r="A299" t="inlineStr">
        <is>
          <t>b53</t>
        </is>
      </c>
      <c r="B299" t="inlineStr">
        <is>
          <t>BRANDY JEREZ SOLERA FELIPE II</t>
        </is>
      </c>
      <c r="C299" t="n">
        <v>6.07</v>
      </c>
    </row>
    <row r="300">
      <c r="A300" t="inlineStr">
        <is>
          <t>b54</t>
        </is>
      </c>
      <c r="B300" t="inlineStr">
        <is>
          <t>VINO VIÑAPEÑA TINTO 3/4</t>
        </is>
      </c>
      <c r="C300" t="n">
        <v>1.6</v>
      </c>
    </row>
    <row r="301">
      <c r="A301" t="inlineStr">
        <is>
          <t>b55</t>
        </is>
      </c>
      <c r="B301" t="inlineStr">
        <is>
          <t>VINO EDERRA VERDEJO 75CL</t>
        </is>
      </c>
      <c r="C301" t="n">
        <v>5.24</v>
      </c>
    </row>
    <row r="302">
      <c r="A302" t="inlineStr">
        <is>
          <t>p246</t>
        </is>
      </c>
      <c r="B302" t="inlineStr">
        <is>
          <t>CACHACA 1892 1L</t>
        </is>
      </c>
      <c r="C302" t="n">
        <v>7</v>
      </c>
    </row>
    <row r="303">
      <c r="A303" t="inlineStr">
        <is>
          <t>p247</t>
        </is>
      </c>
      <c r="B303" t="inlineStr">
        <is>
          <t>JARABE TROPICAL BLUE REYTHOR 1L</t>
        </is>
      </c>
      <c r="C303" t="n">
        <v>2.41</v>
      </c>
    </row>
    <row r="304">
      <c r="A304" t="inlineStr">
        <is>
          <t>p248</t>
        </is>
      </c>
      <c r="B304" t="inlineStr">
        <is>
          <t>JARABE GRANADINA REYTHOR 1L</t>
        </is>
      </c>
      <c r="C304" t="n">
        <v>4.74</v>
      </c>
    </row>
    <row r="305">
      <c r="A305" t="inlineStr">
        <is>
          <t>p249</t>
        </is>
      </c>
      <c r="B305" t="inlineStr">
        <is>
          <t>MINI CROISSANT RECTO MANTQUILLA 280UN</t>
        </is>
      </c>
      <c r="C305" t="n">
        <v>0.2</v>
      </c>
    </row>
    <row r="306">
      <c r="A306" t="inlineStr">
        <is>
          <t>p250</t>
        </is>
      </c>
      <c r="B306" t="inlineStr">
        <is>
          <t>MINI LAZO VITALCEREAL 194UD 18GRS</t>
        </is>
      </c>
      <c r="C306" t="n">
        <v>0.22</v>
      </c>
    </row>
    <row r="307">
      <c r="A307" t="inlineStr">
        <is>
          <t>p251</t>
        </is>
      </c>
      <c r="B307" t="inlineStr">
        <is>
          <t>MINI NAPOLITANA CACAO CREMA 100UND</t>
        </is>
      </c>
      <c r="C307" t="n">
        <v>0.18</v>
      </c>
    </row>
    <row r="308">
      <c r="A308" t="inlineStr">
        <is>
          <t>p252</t>
        </is>
      </c>
      <c r="B308" t="inlineStr">
        <is>
          <t>BAGUETTINA 120GRS 66UN</t>
        </is>
      </c>
      <c r="C308" t="n">
        <v>2.5</v>
      </c>
    </row>
    <row r="309">
      <c r="A309" t="inlineStr">
        <is>
          <t>p253</t>
        </is>
      </c>
      <c r="B309" t="inlineStr">
        <is>
          <t>CREMA AFILADOR ORUJO 70CL</t>
        </is>
      </c>
      <c r="C309" t="n">
        <v>0</v>
      </c>
    </row>
    <row r="310">
      <c r="A310" t="inlineStr">
        <is>
          <t>p254</t>
        </is>
      </c>
      <c r="B310" t="inlineStr">
        <is>
          <t>ARTIS MALTA 100GRS 30UD</t>
        </is>
      </c>
      <c r="C310" t="n">
        <v>0</v>
      </c>
    </row>
    <row r="311">
      <c r="A311" t="inlineStr">
        <is>
          <t>p255</t>
        </is>
      </c>
      <c r="B311" t="inlineStr">
        <is>
          <t>CHEDDAR CHEESE SAUCE</t>
        </is>
      </c>
      <c r="C311" t="n">
        <v>0</v>
      </c>
    </row>
    <row r="312">
      <c r="A312" t="inlineStr">
        <is>
          <t>p256</t>
        </is>
      </c>
      <c r="B312" t="inlineStr">
        <is>
          <t>CHEDDAR LONCHAS</t>
        </is>
      </c>
      <c r="C312" t="n">
        <v>0</v>
      </c>
    </row>
    <row r="313">
      <c r="A313" t="inlineStr">
        <is>
          <t>p257</t>
        </is>
      </c>
      <c r="B313" t="inlineStr">
        <is>
          <t>ROYAL BLISS YUZ VR20 C24</t>
        </is>
      </c>
      <c r="C313" t="n">
        <v>0.68</v>
      </c>
    </row>
    <row r="314">
      <c r="A314" t="inlineStr">
        <is>
          <t>b56</t>
        </is>
      </c>
      <c r="B314" t="inlineStr">
        <is>
          <t>COCACOLA VR237 C24</t>
        </is>
      </c>
      <c r="C314" t="n">
        <v>0.47</v>
      </c>
    </row>
    <row r="315">
      <c r="A315" t="inlineStr">
        <is>
          <t>b57</t>
        </is>
      </c>
      <c r="B315" t="inlineStr">
        <is>
          <t>FANTA NARANJA VR237 C24</t>
        </is>
      </c>
      <c r="C315" t="n">
        <v>0.51</v>
      </c>
    </row>
    <row r="316">
      <c r="A316" t="inlineStr">
        <is>
          <t>b58</t>
        </is>
      </c>
      <c r="B316" t="inlineStr">
        <is>
          <t>COCACOLA ZERO VR237 C24</t>
        </is>
      </c>
      <c r="C316" t="n">
        <v>0.63</v>
      </c>
    </row>
    <row r="317">
      <c r="A317" t="inlineStr">
        <is>
          <t>p258</t>
        </is>
      </c>
      <c r="B317" t="inlineStr">
        <is>
          <t>NESTEE MANGO PIÑA</t>
        </is>
      </c>
      <c r="C317" t="n">
        <v>0.99</v>
      </c>
    </row>
    <row r="318">
      <c r="A318" t="inlineStr">
        <is>
          <t>p259</t>
        </is>
      </c>
      <c r="B318" t="inlineStr">
        <is>
          <t>AQUABONA VR50 C20</t>
        </is>
      </c>
      <c r="C318" t="n">
        <v>0.33</v>
      </c>
    </row>
    <row r="319">
      <c r="A319" t="inlineStr">
        <is>
          <t>p260</t>
        </is>
      </c>
      <c r="B319" t="inlineStr">
        <is>
          <t>AQUABONA SINGULAR VR365 C20</t>
        </is>
      </c>
      <c r="C319" t="n">
        <v>0.44</v>
      </c>
    </row>
    <row r="320">
      <c r="A320" t="inlineStr">
        <is>
          <t>p261</t>
        </is>
      </c>
      <c r="B320" t="inlineStr">
        <is>
          <t>ROYAL BLISS SOD VNR2 0C24</t>
        </is>
      </c>
      <c r="C320" t="n">
        <v>0.45</v>
      </c>
    </row>
    <row r="321">
      <c r="A321" t="inlineStr">
        <is>
          <t>p262</t>
        </is>
      </c>
      <c r="B321" t="inlineStr">
        <is>
          <t>ARANDANOS</t>
        </is>
      </c>
      <c r="C321" t="n">
        <v>0</v>
      </c>
    </row>
    <row r="322">
      <c r="A322" t="inlineStr">
        <is>
          <t>p263</t>
        </is>
      </c>
      <c r="B322" t="inlineStr">
        <is>
          <t>JALAPEÑOS EN RODAJA 3LTR</t>
        </is>
      </c>
      <c r="C322" t="n">
        <v>0</v>
      </c>
    </row>
    <row r="323">
      <c r="A323" t="inlineStr">
        <is>
          <t>p264</t>
        </is>
      </c>
      <c r="B323" t="inlineStr">
        <is>
          <t>AQUABONA PET50 C24</t>
        </is>
      </c>
      <c r="C323" t="n">
        <v>0.22</v>
      </c>
    </row>
    <row r="324">
      <c r="A324" t="inlineStr">
        <is>
          <t>p265</t>
        </is>
      </c>
      <c r="B324" t="inlineStr">
        <is>
          <t>AQUABONA SINGULAR PET50 C12</t>
        </is>
      </c>
      <c r="C324" t="n">
        <v>0.13</v>
      </c>
    </row>
    <row r="325">
      <c r="A325" t="inlineStr">
        <is>
          <t>p266</t>
        </is>
      </c>
      <c r="B325" t="inlineStr">
        <is>
          <t>CAFE ILLY EN GRANO TUESTE INTENSO LATA 1,5KG</t>
        </is>
      </c>
      <c r="C325" t="n">
        <v>46.13</v>
      </c>
    </row>
    <row r="326">
      <c r="A326" t="inlineStr">
        <is>
          <t>p267</t>
        </is>
      </c>
      <c r="B326" t="inlineStr">
        <is>
          <t>CAFE ILLY CAPSULA TUESTE INTENSO PACK INDIVIDUAL</t>
        </is>
      </c>
      <c r="C326" t="n">
        <v>0.55</v>
      </c>
    </row>
    <row r="327">
      <c r="A327" t="inlineStr">
        <is>
          <t>p268</t>
        </is>
      </c>
      <c r="B327" t="inlineStr">
        <is>
          <t>CALDO COCIDO</t>
        </is>
      </c>
      <c r="C327" t="n">
        <v>0.9</v>
      </c>
    </row>
    <row r="328">
      <c r="A328" t="inlineStr">
        <is>
          <t>p269</t>
        </is>
      </c>
      <c r="B328" t="inlineStr">
        <is>
          <t>ALUBIA BLANCA 1KG</t>
        </is>
      </c>
      <c r="C328" t="n">
        <v>0</v>
      </c>
    </row>
    <row r="329">
      <c r="A329" t="inlineStr">
        <is>
          <t>p270</t>
        </is>
      </c>
      <c r="B329" t="inlineStr">
        <is>
          <t>BOLSA BOCADILLO 40UD</t>
        </is>
      </c>
      <c r="C329" t="n">
        <v>0.04</v>
      </c>
    </row>
    <row r="330">
      <c r="A330" t="inlineStr">
        <is>
          <t>p271</t>
        </is>
      </c>
      <c r="B330" t="inlineStr">
        <is>
          <t>CALDO PAELLA / MARISCO</t>
        </is>
      </c>
      <c r="C330" t="n">
        <v>1.9</v>
      </c>
    </row>
    <row r="331">
      <c r="A331" t="inlineStr">
        <is>
          <t>p272</t>
        </is>
      </c>
      <c r="B331" t="inlineStr">
        <is>
          <t>BROCOLI</t>
        </is>
      </c>
      <c r="C331" t="n">
        <v>1.75</v>
      </c>
    </row>
    <row r="332">
      <c r="A332" t="inlineStr">
        <is>
          <t>p273</t>
        </is>
      </c>
      <c r="B332" t="inlineStr">
        <is>
          <t>PUNTO VERDE</t>
        </is>
      </c>
      <c r="C332" t="n">
        <v>1.99</v>
      </c>
    </row>
    <row r="333">
      <c r="A333" t="inlineStr">
        <is>
          <t>p274</t>
        </is>
      </c>
      <c r="B333" t="inlineStr">
        <is>
          <t>ROYAL BLISS BER VR20 C24</t>
        </is>
      </c>
      <c r="C333" t="n">
        <v>0.43</v>
      </c>
    </row>
    <row r="334">
      <c r="A334" t="inlineStr">
        <is>
          <t>b59</t>
        </is>
      </c>
      <c r="B334" t="inlineStr">
        <is>
          <t>COCACOLA LATA 33 C24</t>
        </is>
      </c>
      <c r="C334" t="n">
        <v>0.14</v>
      </c>
    </row>
    <row r="335">
      <c r="A335" t="inlineStr">
        <is>
          <t>b60</t>
        </is>
      </c>
      <c r="B335" t="inlineStr">
        <is>
          <t>COCACOLA ZERO LATA 33 C24</t>
        </is>
      </c>
      <c r="C335" t="n">
        <v>0.63</v>
      </c>
    </row>
    <row r="336">
      <c r="A336" t="inlineStr">
        <is>
          <t>b61</t>
        </is>
      </c>
      <c r="B336" t="inlineStr">
        <is>
          <t>FANTA NARANJA LATA33 C24</t>
        </is>
      </c>
      <c r="C336" t="n">
        <v>0.33</v>
      </c>
    </row>
    <row r="337">
      <c r="A337" t="inlineStr">
        <is>
          <t>b62</t>
        </is>
      </c>
      <c r="B337" t="inlineStr">
        <is>
          <t>SPRITE PET1,5L C8</t>
        </is>
      </c>
      <c r="C337" t="n">
        <v>1.31</v>
      </c>
    </row>
    <row r="338">
      <c r="A338" t="inlineStr">
        <is>
          <t>p275</t>
        </is>
      </c>
      <c r="B338" t="inlineStr">
        <is>
          <t>ROYAL BLISS YUZU ZERO VR20 C24</t>
        </is>
      </c>
      <c r="C338" t="n">
        <v>0.59</v>
      </c>
    </row>
    <row r="339">
      <c r="A339" t="inlineStr">
        <is>
          <t>p276</t>
        </is>
      </c>
      <c r="B339" t="inlineStr">
        <is>
          <t>PAN MONTAÑEZ CENTENO 20UD 320G</t>
        </is>
      </c>
      <c r="C339" t="n">
        <v>1.07</v>
      </c>
    </row>
    <row r="340">
      <c r="A340" t="inlineStr">
        <is>
          <t>p277</t>
        </is>
      </c>
      <c r="B340" t="inlineStr">
        <is>
          <t>TANQUERAY 0,0 SIN ALCOHOL</t>
        </is>
      </c>
      <c r="C340" t="n">
        <v>12.95</v>
      </c>
    </row>
    <row r="341">
      <c r="A341" t="inlineStr">
        <is>
          <t>p278</t>
        </is>
      </c>
      <c r="B341" t="inlineStr">
        <is>
          <t>CACAO TAZA S/GLUTEN</t>
        </is>
      </c>
      <c r="C341" t="n">
        <v>0</v>
      </c>
    </row>
    <row r="342">
      <c r="A342" t="inlineStr">
        <is>
          <t>p279</t>
        </is>
      </c>
      <c r="B342" t="inlineStr">
        <is>
          <t>ACEITE SESAMO 100% 500ML</t>
        </is>
      </c>
      <c r="C342" t="n">
        <v>7.13</v>
      </c>
    </row>
    <row r="343">
      <c r="A343" t="inlineStr">
        <is>
          <t>p280</t>
        </is>
      </c>
      <c r="B343" t="inlineStr">
        <is>
          <t>PEPINILLO VINAGRE EMICELA 4,2KG</t>
        </is>
      </c>
      <c r="C343" t="n">
        <v>0</v>
      </c>
    </row>
    <row r="344">
      <c r="A344" t="inlineStr">
        <is>
          <t>p281</t>
        </is>
      </c>
      <c r="B344" t="inlineStr">
        <is>
          <t>CIRUELA DESECADA S/HUESO 50/60 10KG</t>
        </is>
      </c>
      <c r="C344" t="n">
        <v>0</v>
      </c>
    </row>
    <row r="345">
      <c r="A345" t="inlineStr">
        <is>
          <t>p282</t>
        </is>
      </c>
      <c r="B345" t="inlineStr">
        <is>
          <t>NECTAR CRANBERRY ( ARANDANOS ) 1L</t>
        </is>
      </c>
      <c r="C345" t="n">
        <v>2.18</v>
      </c>
    </row>
    <row r="346">
      <c r="A346" t="inlineStr">
        <is>
          <t>p283</t>
        </is>
      </c>
      <c r="B346" t="inlineStr">
        <is>
          <t>JAMOCINTOS DE POLLO</t>
        </is>
      </c>
      <c r="C346" t="n">
        <v>0</v>
      </c>
    </row>
    <row r="347">
      <c r="A347" t="inlineStr">
        <is>
          <t>p284</t>
        </is>
      </c>
      <c r="B347" t="inlineStr">
        <is>
          <t>NUEZ MONDADA PAQ 1KG</t>
        </is>
      </c>
      <c r="C347" t="n">
        <v>13.07</v>
      </c>
    </row>
    <row r="348">
      <c r="A348" t="inlineStr">
        <is>
          <t>p285</t>
        </is>
      </c>
      <c r="B348" t="inlineStr">
        <is>
          <t>ACEITUNAS S/H</t>
        </is>
      </c>
      <c r="C348" t="n">
        <v>6.99</v>
      </c>
    </row>
    <row r="349">
      <c r="A349" t="inlineStr">
        <is>
          <t>p286</t>
        </is>
      </c>
      <c r="B349" t="inlineStr">
        <is>
          <t>ALUBIA CON TOMATE LATA 3KG</t>
        </is>
      </c>
      <c r="C349" t="n">
        <v>5.99</v>
      </c>
    </row>
    <row r="350">
      <c r="A350" t="inlineStr">
        <is>
          <t>p287</t>
        </is>
      </c>
      <c r="B350" t="inlineStr">
        <is>
          <t>NATA VEGETAL S/AZUCAR 35% MG BRIK 1L</t>
        </is>
      </c>
      <c r="C350" t="n">
        <v>0</v>
      </c>
    </row>
    <row r="351">
      <c r="A351" t="inlineStr">
        <is>
          <t>p288</t>
        </is>
      </c>
      <c r="B351" t="inlineStr">
        <is>
          <t>JOHNNIE WALKER ETIQUETA NEGRA 1L</t>
        </is>
      </c>
      <c r="C351" t="n">
        <v>13.53</v>
      </c>
    </row>
    <row r="352">
      <c r="A352" t="inlineStr">
        <is>
          <t>p289</t>
        </is>
      </c>
      <c r="B352" t="inlineStr">
        <is>
          <t>CHISTORRA ROJA FRESCA</t>
        </is>
      </c>
      <c r="C352" t="n">
        <v>0</v>
      </c>
    </row>
    <row r="353">
      <c r="A353" t="inlineStr">
        <is>
          <t>p290</t>
        </is>
      </c>
      <c r="B353" t="inlineStr">
        <is>
          <t>SOLOMILLO TERNERA</t>
        </is>
      </c>
      <c r="C353" t="n">
        <v>25.57</v>
      </c>
    </row>
    <row r="354">
      <c r="A354" t="inlineStr">
        <is>
          <t>b63</t>
        </is>
      </c>
      <c r="B354" t="inlineStr">
        <is>
          <t>CERVEZA VOLL DAM BOT 25CL</t>
        </is>
      </c>
      <c r="C354" t="n">
        <v>0</v>
      </c>
    </row>
    <row r="355">
      <c r="A355" t="inlineStr">
        <is>
          <t>p291</t>
        </is>
      </c>
      <c r="B355" t="inlineStr">
        <is>
          <t>RISSO CESAR</t>
        </is>
      </c>
      <c r="C355" t="n">
        <v>8.470000000000001</v>
      </c>
    </row>
    <row r="356">
      <c r="A356" t="inlineStr">
        <is>
          <t>p292</t>
        </is>
      </c>
      <c r="B356" t="inlineStr">
        <is>
          <t>CALAMAR SAH</t>
        </is>
      </c>
      <c r="C356" t="n">
        <v>15.43</v>
      </c>
    </row>
    <row r="357">
      <c r="A357" t="inlineStr">
        <is>
          <t>p293</t>
        </is>
      </c>
      <c r="B357" t="inlineStr">
        <is>
          <t>CIINTA DE LOMO DE CERDO TIERNO</t>
        </is>
      </c>
      <c r="C357" t="n">
        <v>6.75</v>
      </c>
    </row>
    <row r="358">
      <c r="A358" t="inlineStr">
        <is>
          <t>p294</t>
        </is>
      </c>
      <c r="B358" t="inlineStr">
        <is>
          <t>CHIC CREMA 325UN 20GRS</t>
        </is>
      </c>
      <c r="C358" t="n">
        <v>0.13</v>
      </c>
    </row>
    <row r="359">
      <c r="A359" t="inlineStr">
        <is>
          <t>p295</t>
        </is>
      </c>
      <c r="B359" t="inlineStr">
        <is>
          <t>PECHUGA PAVO</t>
        </is>
      </c>
      <c r="C359" t="n">
        <v>0</v>
      </c>
    </row>
    <row r="360">
      <c r="A360" t="inlineStr">
        <is>
          <t>p296</t>
        </is>
      </c>
      <c r="B360" t="inlineStr">
        <is>
          <t>QUESO CASTELLANO MEZCLA</t>
        </is>
      </c>
      <c r="C360" t="n">
        <v>0</v>
      </c>
    </row>
    <row r="361">
      <c r="A361" t="inlineStr">
        <is>
          <t>p297</t>
        </is>
      </c>
      <c r="B361" t="inlineStr">
        <is>
          <t>QUESO PARMESANO</t>
        </is>
      </c>
      <c r="C361" t="n">
        <v>0</v>
      </c>
    </row>
    <row r="362">
      <c r="A362" t="inlineStr">
        <is>
          <t>p298</t>
        </is>
      </c>
      <c r="B362" t="inlineStr">
        <is>
          <t>CROQUTA DE JAMON IBERICO 1KG</t>
        </is>
      </c>
      <c r="C362" t="n">
        <v>12.19</v>
      </c>
    </row>
    <row r="363">
      <c r="A363" t="inlineStr">
        <is>
          <t>p299</t>
        </is>
      </c>
      <c r="B363" t="inlineStr">
        <is>
          <t>CROQUETA DE BOLETUS 1KG</t>
        </is>
      </c>
      <c r="C363" t="n">
        <v>0</v>
      </c>
    </row>
    <row r="364">
      <c r="A364" t="inlineStr">
        <is>
          <t>p300</t>
        </is>
      </c>
      <c r="B364" t="inlineStr">
        <is>
          <t>BACON AHUMADO</t>
        </is>
      </c>
      <c r="C364" t="n">
        <v>7.92</v>
      </c>
    </row>
    <row r="365">
      <c r="A365" t="inlineStr">
        <is>
          <t>p301</t>
        </is>
      </c>
      <c r="B365" t="inlineStr">
        <is>
          <t>QUESO CABRA</t>
        </is>
      </c>
      <c r="C365" t="n">
        <v>0</v>
      </c>
    </row>
    <row r="366">
      <c r="A366" t="inlineStr">
        <is>
          <t>p302</t>
        </is>
      </c>
      <c r="B366" t="inlineStr">
        <is>
          <t>OREJONES DE ALBARICOQUE BOLSA 1KG</t>
        </is>
      </c>
      <c r="C366" t="n">
        <v>0</v>
      </c>
    </row>
    <row r="367">
      <c r="A367" t="inlineStr">
        <is>
          <t>b64</t>
        </is>
      </c>
      <c r="B367" t="inlineStr">
        <is>
          <t>COLA CAO 50 SOBRES 18GR</t>
        </is>
      </c>
      <c r="C367" t="n">
        <v>0.52</v>
      </c>
    </row>
    <row r="368">
      <c r="A368" t="inlineStr">
        <is>
          <t>p303</t>
        </is>
      </c>
      <c r="B368" t="inlineStr">
        <is>
          <t>PAPAS FRITAS LISA 6X500GRS</t>
        </is>
      </c>
      <c r="C368" t="n">
        <v>4.68</v>
      </c>
    </row>
    <row r="369">
      <c r="A369" t="inlineStr">
        <is>
          <t>b65</t>
        </is>
      </c>
      <c r="B369" t="inlineStr">
        <is>
          <t>MANISES FRITOS SAL 1KG</t>
        </is>
      </c>
      <c r="C369" t="n">
        <v>8.73</v>
      </c>
    </row>
    <row r="370">
      <c r="A370" t="inlineStr">
        <is>
          <t>p304</t>
        </is>
      </c>
      <c r="B370" t="inlineStr">
        <is>
          <t>COCTEL DE FRUTAS EN ALMIBAR 3KG</t>
        </is>
      </c>
      <c r="C370" t="n">
        <v>2.5</v>
      </c>
    </row>
    <row r="371">
      <c r="A371" t="inlineStr">
        <is>
          <t>b66</t>
        </is>
      </c>
      <c r="B371" t="inlineStr">
        <is>
          <t>BEBIDA DE ALMENDRA 1L</t>
        </is>
      </c>
      <c r="C371" t="n">
        <v>2</v>
      </c>
    </row>
    <row r="372">
      <c r="A372" t="inlineStr">
        <is>
          <t>p305</t>
        </is>
      </c>
      <c r="B372" t="inlineStr">
        <is>
          <t>ACEITE DE FREIR 100% VEGETAL 20L</t>
        </is>
      </c>
      <c r="C372" t="n">
        <v>0</v>
      </c>
    </row>
    <row r="373">
      <c r="A373" t="inlineStr">
        <is>
          <t>p306</t>
        </is>
      </c>
      <c r="B373" t="inlineStr">
        <is>
          <t>FRESAS NATURALES</t>
        </is>
      </c>
      <c r="C373" t="n">
        <v>8.02</v>
      </c>
    </row>
    <row r="374">
      <c r="A374" t="inlineStr">
        <is>
          <t>p307</t>
        </is>
      </c>
      <c r="B374" t="inlineStr">
        <is>
          <t>CIRUELA AMARILLA</t>
        </is>
      </c>
      <c r="C374" t="n">
        <v>0</v>
      </c>
    </row>
    <row r="375">
      <c r="A375" t="inlineStr">
        <is>
          <t>b67</t>
        </is>
      </c>
      <c r="B375" t="inlineStr">
        <is>
          <t>PARAGUAYO</t>
        </is>
      </c>
      <c r="C375" t="n">
        <v>0</v>
      </c>
    </row>
    <row r="376">
      <c r="A376" t="inlineStr">
        <is>
          <t>p308</t>
        </is>
      </c>
      <c r="B376" t="inlineStr">
        <is>
          <t>MANGA</t>
        </is>
      </c>
      <c r="C376" t="n">
        <v>0</v>
      </c>
    </row>
    <row r="377">
      <c r="A377" t="inlineStr">
        <is>
          <t>p309</t>
        </is>
      </c>
      <c r="B377" t="inlineStr">
        <is>
          <t>UVA BLANCA</t>
        </is>
      </c>
      <c r="C377" t="n">
        <v>4.15</v>
      </c>
    </row>
    <row r="378">
      <c r="A378" t="inlineStr">
        <is>
          <t>p310</t>
        </is>
      </c>
      <c r="B378" t="inlineStr">
        <is>
          <t>UVAS DE LA SUERTE ( BOLSA )</t>
        </is>
      </c>
      <c r="C378" t="n">
        <v>0</v>
      </c>
    </row>
    <row r="379">
      <c r="A379" t="inlineStr">
        <is>
          <t>p311</t>
        </is>
      </c>
      <c r="B379" t="inlineStr">
        <is>
          <t>COGOLLO UND</t>
        </is>
      </c>
      <c r="C379" t="n">
        <v>0</v>
      </c>
    </row>
    <row r="380">
      <c r="A380" t="inlineStr">
        <is>
          <t>p312</t>
        </is>
      </c>
      <c r="B380" t="inlineStr">
        <is>
          <t>RUSTICO MALTEADO 500GRS 15UD</t>
        </is>
      </c>
      <c r="C380" t="n">
        <v>0.8100000000000001</v>
      </c>
    </row>
    <row r="381">
      <c r="A381" t="inlineStr">
        <is>
          <t>p313</t>
        </is>
      </c>
      <c r="B381" t="inlineStr">
        <is>
          <t>GALLETA ACARAMELADA 5,6GRS 300UD</t>
        </is>
      </c>
      <c r="C381" t="n">
        <v>0.07000000000000001</v>
      </c>
    </row>
    <row r="382">
      <c r="A382" t="inlineStr">
        <is>
          <t>p314</t>
        </is>
      </c>
      <c r="B382" t="inlineStr">
        <is>
          <t>MINI HOOPS AZUCAR 35GRS 80UND</t>
        </is>
      </c>
      <c r="C382" t="n">
        <v>0</v>
      </c>
    </row>
    <row r="383">
      <c r="A383" t="inlineStr">
        <is>
          <t>p315</t>
        </is>
      </c>
      <c r="B383" t="inlineStr">
        <is>
          <t>CURRY MOLIDO BOTE 1000GRS</t>
        </is>
      </c>
      <c r="C383" t="n">
        <v>0</v>
      </c>
    </row>
    <row r="384">
      <c r="A384" t="inlineStr">
        <is>
          <t>p316</t>
        </is>
      </c>
      <c r="B384" t="inlineStr">
        <is>
          <t>MARTINI DRY SECO 1L</t>
        </is>
      </c>
      <c r="C384" t="n">
        <v>7.85</v>
      </c>
    </row>
    <row r="385">
      <c r="A385" t="inlineStr">
        <is>
          <t>p317</t>
        </is>
      </c>
      <c r="B385" t="inlineStr">
        <is>
          <t>MERMELADA DE TOMATE 140GRS</t>
        </is>
      </c>
      <c r="C385" t="n">
        <v>2.4</v>
      </c>
    </row>
    <row r="386">
      <c r="A386" t="inlineStr">
        <is>
          <t>p318</t>
        </is>
      </c>
      <c r="B386" t="inlineStr">
        <is>
          <t>ALIOLI 252X10GRS</t>
        </is>
      </c>
      <c r="C386" t="n">
        <v>0.11</v>
      </c>
    </row>
    <row r="387">
      <c r="A387" t="inlineStr">
        <is>
          <t>b68</t>
        </is>
      </c>
      <c r="B387" t="inlineStr">
        <is>
          <t>VODKA ROBERTO CAVALLI 70CL</t>
        </is>
      </c>
      <c r="C387" t="n">
        <v>0</v>
      </c>
    </row>
    <row r="388">
      <c r="A388" t="inlineStr">
        <is>
          <t>b69</t>
        </is>
      </c>
      <c r="B388" t="inlineStr">
        <is>
          <t>AGUACATE CUBO CONGELADO</t>
        </is>
      </c>
      <c r="C388" t="n">
        <v>5.99</v>
      </c>
    </row>
    <row r="389">
      <c r="A389" t="inlineStr">
        <is>
          <t>b70</t>
        </is>
      </c>
      <c r="B389" t="inlineStr">
        <is>
          <t>VINO ALBARIÑO MAR DE FRADES</t>
        </is>
      </c>
      <c r="C389" t="n">
        <v>0</v>
      </c>
    </row>
    <row r="390">
      <c r="A390" t="inlineStr">
        <is>
          <t>p319</t>
        </is>
      </c>
      <c r="B390" t="inlineStr">
        <is>
          <t>GARBANZOS COCIDOS 3KG</t>
        </is>
      </c>
      <c r="C390" t="n">
        <v>3</v>
      </c>
    </row>
    <row r="391">
      <c r="A391" t="inlineStr">
        <is>
          <t>p320</t>
        </is>
      </c>
      <c r="B391" t="inlineStr">
        <is>
          <t>ESPECIERO REPOSTERIA</t>
        </is>
      </c>
      <c r="C391" t="n">
        <v>0</v>
      </c>
    </row>
    <row r="392">
      <c r="A392" t="inlineStr">
        <is>
          <t>p321</t>
        </is>
      </c>
      <c r="B392" t="inlineStr">
        <is>
          <t>CRUMBLE APPLE PIE 12 PORCIONES</t>
        </is>
      </c>
      <c r="C392" t="n">
        <v>0</v>
      </c>
    </row>
    <row r="393">
      <c r="A393" t="inlineStr">
        <is>
          <t>p322</t>
        </is>
      </c>
      <c r="B393" t="inlineStr">
        <is>
          <t>PASSION CARROT CAKE 16 PORCIONES</t>
        </is>
      </c>
      <c r="C393" t="n">
        <v>0</v>
      </c>
    </row>
    <row r="394">
      <c r="A394" t="inlineStr">
        <is>
          <t>p323</t>
        </is>
      </c>
      <c r="B394" t="inlineStr">
        <is>
          <t>PULLED PORK NATURAL</t>
        </is>
      </c>
      <c r="C394" t="n">
        <v>0</v>
      </c>
    </row>
    <row r="395">
      <c r="A395" t="inlineStr">
        <is>
          <t>p324</t>
        </is>
      </c>
      <c r="B395" t="inlineStr">
        <is>
          <t>CHESSECAKE KORFEST</t>
        </is>
      </c>
      <c r="C395" t="n">
        <v>0</v>
      </c>
    </row>
    <row r="396">
      <c r="A396" t="inlineStr">
        <is>
          <t>p325</t>
        </is>
      </c>
      <c r="B396" t="inlineStr">
        <is>
          <t>QUESO SEMI BLANCO VALSEQUILLO</t>
        </is>
      </c>
      <c r="C396" t="n">
        <v>0</v>
      </c>
    </row>
    <row r="397">
      <c r="A397" t="inlineStr">
        <is>
          <t>b71</t>
        </is>
      </c>
      <c r="B397" t="inlineStr">
        <is>
          <t>VINO CEPA 21 TINTO RD</t>
        </is>
      </c>
      <c r="C397" t="n">
        <v>0</v>
      </c>
    </row>
    <row r="398">
      <c r="A398" t="inlineStr">
        <is>
          <t>p326</t>
        </is>
      </c>
      <c r="B398" t="inlineStr">
        <is>
          <t>QUESO CURADO VALSEQUILLO</t>
        </is>
      </c>
      <c r="C398" t="n">
        <v>0</v>
      </c>
    </row>
    <row r="399">
      <c r="A399" t="inlineStr">
        <is>
          <t>p327</t>
        </is>
      </c>
      <c r="B399" t="inlineStr">
        <is>
          <t>QUESO ARTESANO BLANCO</t>
        </is>
      </c>
      <c r="C399" t="n">
        <v>0</v>
      </c>
    </row>
    <row r="400">
      <c r="A400" t="inlineStr">
        <is>
          <t>p328</t>
        </is>
      </c>
      <c r="B400" t="inlineStr">
        <is>
          <t>QUESO SEMI ROJO</t>
        </is>
      </c>
      <c r="C400" t="n">
        <v>0</v>
      </c>
    </row>
    <row r="401">
      <c r="A401" t="inlineStr">
        <is>
          <t>p329</t>
        </is>
      </c>
      <c r="B401" t="inlineStr">
        <is>
          <t>MOZZ BUFALA ZANETTI 125G</t>
        </is>
      </c>
      <c r="C401" t="n">
        <v>0</v>
      </c>
    </row>
    <row r="402">
      <c r="A402" t="inlineStr">
        <is>
          <t>b72</t>
        </is>
      </c>
      <c r="B402" t="inlineStr">
        <is>
          <t>PIMIENTO PADRON</t>
        </is>
      </c>
      <c r="C402" t="n">
        <v>0</v>
      </c>
    </row>
    <row r="403">
      <c r="A403" t="inlineStr">
        <is>
          <t>p330</t>
        </is>
      </c>
      <c r="B403" t="inlineStr">
        <is>
          <t>ALBAHACA</t>
        </is>
      </c>
      <c r="C403" t="n">
        <v>0</v>
      </c>
    </row>
    <row r="404">
      <c r="A404" t="inlineStr">
        <is>
          <t>p331</t>
        </is>
      </c>
      <c r="B404" t="inlineStr">
        <is>
          <t>MILLO COCIDO</t>
        </is>
      </c>
      <c r="C404" t="n">
        <v>0</v>
      </c>
    </row>
    <row r="405">
      <c r="A405" t="inlineStr">
        <is>
          <t>p332</t>
        </is>
      </c>
      <c r="B405" t="inlineStr">
        <is>
          <t>BRIOCHE 4X24 SPECIAL</t>
        </is>
      </c>
      <c r="C405" t="n">
        <v>0</v>
      </c>
    </row>
    <row r="406">
      <c r="A406" t="inlineStr">
        <is>
          <t>p333</t>
        </is>
      </c>
      <c r="B406" t="inlineStr">
        <is>
          <t>SMOOTHIE PALM BEACH MANGO/BANANA</t>
        </is>
      </c>
      <c r="C406" t="n">
        <v>0</v>
      </c>
    </row>
    <row r="407">
      <c r="A407" t="inlineStr">
        <is>
          <t>p334</t>
        </is>
      </c>
      <c r="B407" t="inlineStr">
        <is>
          <t>SMOOTHIE TROPIC</t>
        </is>
      </c>
      <c r="C407" t="n">
        <v>0</v>
      </c>
    </row>
    <row r="408">
      <c r="A408" t="inlineStr">
        <is>
          <t>p335</t>
        </is>
      </c>
      <c r="B408" t="inlineStr">
        <is>
          <t>SMOOTIE GREEN NATURAL 150</t>
        </is>
      </c>
      <c r="C408" t="n">
        <v>1.64</v>
      </c>
    </row>
    <row r="409">
      <c r="A409" t="inlineStr">
        <is>
          <t>p336</t>
        </is>
      </c>
      <c r="B409" t="inlineStr">
        <is>
          <t>SMOOTHIES B2 CERE-MAN-FRE-ARAN</t>
        </is>
      </c>
      <c r="C409" t="n">
        <v>1.13</v>
      </c>
    </row>
    <row r="410">
      <c r="A410" t="inlineStr">
        <is>
          <t>p337</t>
        </is>
      </c>
      <c r="B410" t="inlineStr">
        <is>
          <t>COSTILLAS CERDO</t>
        </is>
      </c>
      <c r="C410" t="n">
        <v>0</v>
      </c>
    </row>
    <row r="411">
      <c r="A411" t="inlineStr">
        <is>
          <t>p338</t>
        </is>
      </c>
      <c r="B411" t="inlineStr">
        <is>
          <t>ACEITE SIN PALMA 10LT</t>
        </is>
      </c>
      <c r="C411" t="n">
        <v>19.34</v>
      </c>
    </row>
    <row r="412">
      <c r="A412" t="inlineStr">
        <is>
          <t>p339</t>
        </is>
      </c>
      <c r="B412" t="inlineStr">
        <is>
          <t>MENTA POLEO 4X25</t>
        </is>
      </c>
      <c r="C412" t="n">
        <v>0.03</v>
      </c>
    </row>
    <row r="413">
      <c r="A413" t="inlineStr">
        <is>
          <t>p340</t>
        </is>
      </c>
      <c r="B413" t="inlineStr">
        <is>
          <t>SOLES CACAO MINI 30GRS 80UD</t>
        </is>
      </c>
      <c r="C413" t="n">
        <v>0</v>
      </c>
    </row>
    <row r="414">
      <c r="A414" t="inlineStr">
        <is>
          <t>b73</t>
        </is>
      </c>
      <c r="B414" t="inlineStr">
        <is>
          <t>GINEBRA PUERTO DE INDIAS FRESA</t>
        </is>
      </c>
      <c r="C414" t="n">
        <v>15.95</v>
      </c>
    </row>
    <row r="415">
      <c r="A415" t="inlineStr">
        <is>
          <t>p341</t>
        </is>
      </c>
      <c r="B415" t="inlineStr">
        <is>
          <t>MERMELADA ARANDANOS</t>
        </is>
      </c>
      <c r="C415" t="n">
        <v>0.35</v>
      </c>
    </row>
    <row r="416">
      <c r="A416" t="inlineStr">
        <is>
          <t>p342</t>
        </is>
      </c>
      <c r="B416" t="inlineStr">
        <is>
          <t>MERMELADA FRESA CRISTAL 48UD</t>
        </is>
      </c>
      <c r="C416" t="n">
        <v>0.45</v>
      </c>
    </row>
    <row r="417">
      <c r="A417" t="inlineStr">
        <is>
          <t>p343</t>
        </is>
      </c>
      <c r="B417" t="inlineStr">
        <is>
          <t>PANECILLO CHEF 25GRS 150UND</t>
        </is>
      </c>
      <c r="C417" t="n">
        <v>0.22</v>
      </c>
    </row>
    <row r="418">
      <c r="A418" t="inlineStr">
        <is>
          <t>p344</t>
        </is>
      </c>
      <c r="B418" t="inlineStr">
        <is>
          <t>MIEL TARRO CRISTAL 30GR 48UN</t>
        </is>
      </c>
      <c r="C418" t="n">
        <v>0.59</v>
      </c>
    </row>
    <row r="419">
      <c r="A419" t="inlineStr">
        <is>
          <t>p345</t>
        </is>
      </c>
      <c r="B419" t="inlineStr">
        <is>
          <t>MERMELADA NARANJA TARRO CRISTAL 30GRS 48UD</t>
        </is>
      </c>
      <c r="C419" t="n">
        <v>0.41</v>
      </c>
    </row>
    <row r="420">
      <c r="A420" t="inlineStr">
        <is>
          <t>p346</t>
        </is>
      </c>
      <c r="B420" t="inlineStr">
        <is>
          <t>INSTANT GRAVY 2KG</t>
        </is>
      </c>
      <c r="C420" t="n">
        <v>6.25</v>
      </c>
    </row>
    <row r="421">
      <c r="A421" t="inlineStr">
        <is>
          <t>p347</t>
        </is>
      </c>
      <c r="B421" t="inlineStr">
        <is>
          <t>YORKSHIRE PUDDING 3 INCHES X20</t>
        </is>
      </c>
      <c r="C421" t="n">
        <v>0</v>
      </c>
    </row>
    <row r="422">
      <c r="A422" t="inlineStr">
        <is>
          <t>p348</t>
        </is>
      </c>
      <c r="B422" t="inlineStr">
        <is>
          <t>ANGUS CARNE</t>
        </is>
      </c>
      <c r="C422" t="n">
        <v>0</v>
      </c>
    </row>
    <row r="423">
      <c r="A423" t="inlineStr">
        <is>
          <t>p349</t>
        </is>
      </c>
      <c r="B423" t="inlineStr">
        <is>
          <t>ORO BAILEN PICUAL 250ML</t>
        </is>
      </c>
      <c r="C423" t="n">
        <v>10.12</v>
      </c>
    </row>
    <row r="424">
      <c r="A424" t="inlineStr">
        <is>
          <t>p350</t>
        </is>
      </c>
      <c r="B424" t="inlineStr">
        <is>
          <t>ORO BAILEN ARBEQUINA 250ML</t>
        </is>
      </c>
      <c r="C424" t="n">
        <v>7.35</v>
      </c>
    </row>
    <row r="425">
      <c r="A425" t="inlineStr">
        <is>
          <t>b74</t>
        </is>
      </c>
      <c r="B425" t="inlineStr">
        <is>
          <t>VINAGRE CASA DEL AGUA 250ML</t>
        </is>
      </c>
      <c r="C425" t="n">
        <v>2.38</v>
      </c>
    </row>
    <row r="426">
      <c r="A426" t="inlineStr">
        <is>
          <t>p351</t>
        </is>
      </c>
      <c r="B426" t="inlineStr">
        <is>
          <t>KAKI</t>
        </is>
      </c>
      <c r="C426" t="n">
        <v>0</v>
      </c>
    </row>
    <row r="427">
      <c r="A427" t="inlineStr">
        <is>
          <t>p352</t>
        </is>
      </c>
      <c r="B427" t="inlineStr">
        <is>
          <t>KETCHUP 2KG SERHOS</t>
        </is>
      </c>
      <c r="C427" t="n">
        <v>0</v>
      </c>
    </row>
    <row r="428">
      <c r="A428" t="inlineStr">
        <is>
          <t>p353</t>
        </is>
      </c>
      <c r="B428" t="inlineStr">
        <is>
          <t>CUAJADA ROYAL 48GRS</t>
        </is>
      </c>
      <c r="C428" t="n">
        <v>0</v>
      </c>
    </row>
    <row r="429">
      <c r="A429" t="inlineStr">
        <is>
          <t>b75</t>
        </is>
      </c>
      <c r="B429" t="inlineStr">
        <is>
          <t>NATA KRONA ORIC BRICK 1L</t>
        </is>
      </c>
      <c r="C429" t="n">
        <v>0</v>
      </c>
    </row>
    <row r="430">
      <c r="A430" t="inlineStr">
        <is>
          <t>b76</t>
        </is>
      </c>
      <c r="B430" t="inlineStr">
        <is>
          <t>NATA KRONA PASTELERIA 1L</t>
        </is>
      </c>
      <c r="C430" t="n">
        <v>0</v>
      </c>
    </row>
    <row r="431">
      <c r="A431" t="inlineStr">
        <is>
          <t>b77</t>
        </is>
      </c>
      <c r="B431" t="inlineStr">
        <is>
          <t>GALLETAS AGUA SERRANITA 30UN</t>
        </is>
      </c>
      <c r="C431" t="n">
        <v>0</v>
      </c>
    </row>
    <row r="432">
      <c r="A432" t="inlineStr">
        <is>
          <t>p354</t>
        </is>
      </c>
      <c r="B432" t="inlineStr">
        <is>
          <t>SMOOTHIE B4 BLUE LIGHTNING</t>
        </is>
      </c>
      <c r="C432" t="n">
        <v>1.07</v>
      </c>
    </row>
    <row r="433">
      <c r="A433" t="inlineStr">
        <is>
          <t>p355</t>
        </is>
      </c>
      <c r="B433" t="inlineStr">
        <is>
          <t>MINI BERLINA CACAO</t>
        </is>
      </c>
      <c r="C433" t="n">
        <v>0</v>
      </c>
    </row>
    <row r="434">
      <c r="A434" t="inlineStr">
        <is>
          <t>p356</t>
        </is>
      </c>
      <c r="B434" t="inlineStr">
        <is>
          <t>DIAMANTE SEMILLAS 55GRS 110UD</t>
        </is>
      </c>
      <c r="C434" t="n">
        <v>0.31</v>
      </c>
    </row>
    <row r="435">
      <c r="A435" t="inlineStr">
        <is>
          <t>p357</t>
        </is>
      </c>
      <c r="B435" t="inlineStr">
        <is>
          <t>PAN MAIZ 350GRS BERLYS 10UN</t>
        </is>
      </c>
      <c r="C435" t="n">
        <v>1.91</v>
      </c>
    </row>
    <row r="436">
      <c r="A436" t="inlineStr">
        <is>
          <t>p358</t>
        </is>
      </c>
      <c r="B436" t="inlineStr">
        <is>
          <t>CENTRO PALETA CEBO IBERICA 50% RAZA</t>
        </is>
      </c>
      <c r="C436" t="n">
        <v>0</v>
      </c>
    </row>
    <row r="437">
      <c r="A437" t="inlineStr">
        <is>
          <t>p359</t>
        </is>
      </c>
      <c r="B437" t="inlineStr">
        <is>
          <t>HIGOS PREMIUN CAJA 5KG</t>
        </is>
      </c>
      <c r="C437" t="n">
        <v>0</v>
      </c>
    </row>
    <row r="438">
      <c r="A438" t="inlineStr">
        <is>
          <t>p360</t>
        </is>
      </c>
      <c r="B438" t="inlineStr">
        <is>
          <t>MAYONESSA HEINZ TARRO CRISTAL 80UND</t>
        </is>
      </c>
      <c r="C438" t="n">
        <v>0.76</v>
      </c>
    </row>
    <row r="439">
      <c r="A439" t="inlineStr">
        <is>
          <t>p361</t>
        </is>
      </c>
      <c r="B439" t="inlineStr">
        <is>
          <t>MERMELADA MELOCOTON CRISTAL 48UN</t>
        </is>
      </c>
      <c r="C439" t="n">
        <v>0.45</v>
      </c>
    </row>
    <row r="440">
      <c r="A440" t="inlineStr">
        <is>
          <t>p362</t>
        </is>
      </c>
      <c r="B440" t="inlineStr">
        <is>
          <t>KETCHUP CRISTAL HERO 48UND</t>
        </is>
      </c>
      <c r="C440" t="n">
        <v>0.63</v>
      </c>
    </row>
    <row r="441">
      <c r="A441" t="inlineStr">
        <is>
          <t>p363</t>
        </is>
      </c>
      <c r="B441" t="inlineStr">
        <is>
          <t>PECHUGA DE POLLO BRASEADA</t>
        </is>
      </c>
      <c r="C441" t="n">
        <v>0</v>
      </c>
    </row>
    <row r="442">
      <c r="A442" t="inlineStr">
        <is>
          <t>p364</t>
        </is>
      </c>
      <c r="B442" t="inlineStr">
        <is>
          <t>PECHUGA DE PAVO BRASEADA</t>
        </is>
      </c>
      <c r="C442" t="n">
        <v>0</v>
      </c>
    </row>
    <row r="443">
      <c r="A443" t="inlineStr">
        <is>
          <t>p365</t>
        </is>
      </c>
      <c r="B443" t="inlineStr">
        <is>
          <t>CABEZON CABELLO 232UD 28GR</t>
        </is>
      </c>
      <c r="C443" t="n">
        <v>0.16</v>
      </c>
    </row>
    <row r="444">
      <c r="A444" t="inlineStr">
        <is>
          <t>b78</t>
        </is>
      </c>
      <c r="B444" t="inlineStr">
        <is>
          <t>GINEBRA BEEFEATER 1L</t>
        </is>
      </c>
      <c r="C444" t="n">
        <v>13.99</v>
      </c>
    </row>
    <row r="445">
      <c r="A445" t="inlineStr">
        <is>
          <t>p366</t>
        </is>
      </c>
      <c r="B445" t="inlineStr">
        <is>
          <t>NAO MARINERA 33CL</t>
        </is>
      </c>
      <c r="C445" t="n">
        <v>1.93</v>
      </c>
    </row>
    <row r="446">
      <c r="A446" t="inlineStr">
        <is>
          <t>p367</t>
        </is>
      </c>
      <c r="B446" t="inlineStr">
        <is>
          <t>FRUSTAS DEL BOSQUE 4*2,5KG</t>
        </is>
      </c>
      <c r="C446" t="n">
        <v>0</v>
      </c>
    </row>
    <row r="447">
      <c r="A447" t="inlineStr">
        <is>
          <t>p368</t>
        </is>
      </c>
      <c r="B447" t="inlineStr">
        <is>
          <t>MEJILLON JUGOSON</t>
        </is>
      </c>
      <c r="C447" t="n">
        <v>6.45</v>
      </c>
    </row>
    <row r="448">
      <c r="A448" t="inlineStr">
        <is>
          <t>p369</t>
        </is>
      </c>
      <c r="B448" t="inlineStr">
        <is>
          <t>TUBO DE POTA LIMPIO</t>
        </is>
      </c>
      <c r="C448" t="n">
        <v>0</v>
      </c>
    </row>
    <row r="449">
      <c r="A449" t="inlineStr">
        <is>
          <t>p370</t>
        </is>
      </c>
      <c r="B449" t="inlineStr">
        <is>
          <t>CALDO SOLUBLE PESCADO 1KG</t>
        </is>
      </c>
      <c r="C449" t="n">
        <v>1</v>
      </c>
    </row>
    <row r="450">
      <c r="A450" t="inlineStr">
        <is>
          <t>p371</t>
        </is>
      </c>
      <c r="B450" t="inlineStr">
        <is>
          <t>MAGDALENAS S/G 2X24 35GRS</t>
        </is>
      </c>
      <c r="C450" t="n">
        <v>0.88</v>
      </c>
    </row>
    <row r="451">
      <c r="A451" t="inlineStr">
        <is>
          <t>p372</t>
        </is>
      </c>
      <c r="B451" t="inlineStr">
        <is>
          <t>CROISSANT S/G 30GRS 30 UND</t>
        </is>
      </c>
      <c r="C451" t="n">
        <v>0</v>
      </c>
    </row>
    <row r="452">
      <c r="A452" t="inlineStr">
        <is>
          <t>p373</t>
        </is>
      </c>
      <c r="B452" t="inlineStr">
        <is>
          <t>ALMEJAS BLANCAS 60/80</t>
        </is>
      </c>
      <c r="C452" t="n">
        <v>2.55</v>
      </c>
    </row>
    <row r="453">
      <c r="A453" t="inlineStr">
        <is>
          <t>p374</t>
        </is>
      </c>
      <c r="B453" t="inlineStr">
        <is>
          <t>SECRETO IBERICO CEBO DE CAMPO</t>
        </is>
      </c>
      <c r="C453" t="n">
        <v>0</v>
      </c>
    </row>
    <row r="454">
      <c r="A454" t="inlineStr">
        <is>
          <t>p375</t>
        </is>
      </c>
      <c r="B454" t="inlineStr">
        <is>
          <t>CHORIZO CANARIO ROJO</t>
        </is>
      </c>
      <c r="C454" t="n">
        <v>0</v>
      </c>
    </row>
    <row r="455">
      <c r="A455" t="inlineStr">
        <is>
          <t>p376</t>
        </is>
      </c>
      <c r="B455" t="inlineStr">
        <is>
          <t>SALCHICHA FRANKFURT SELECTA 60 GRS</t>
        </is>
      </c>
      <c r="C455" t="n">
        <v>0</v>
      </c>
    </row>
    <row r="456">
      <c r="A456" t="inlineStr">
        <is>
          <t>p377</t>
        </is>
      </c>
      <c r="B456" t="inlineStr">
        <is>
          <t>CROQUETAS DE POLLO</t>
        </is>
      </c>
      <c r="C456" t="n">
        <v>0</v>
      </c>
    </row>
    <row r="457">
      <c r="A457" t="inlineStr">
        <is>
          <t>p378</t>
        </is>
      </c>
      <c r="B457" t="inlineStr">
        <is>
          <t>ALBONDIGAS CONG BOLSA</t>
        </is>
      </c>
      <c r="C457" t="n">
        <v>0</v>
      </c>
    </row>
    <row r="458">
      <c r="A458" t="inlineStr">
        <is>
          <t>p379</t>
        </is>
      </c>
      <c r="B458" t="inlineStr">
        <is>
          <t>CHULETERO TERNERA FRESCO CORTADO</t>
        </is>
      </c>
      <c r="C458" t="n">
        <v>0</v>
      </c>
    </row>
    <row r="459">
      <c r="A459" t="inlineStr">
        <is>
          <t>b79</t>
        </is>
      </c>
      <c r="B459" t="inlineStr">
        <is>
          <t>LICOR VODKA CARAMELO ARTEMI</t>
        </is>
      </c>
      <c r="C459" t="n">
        <v>5.59</v>
      </c>
    </row>
    <row r="460">
      <c r="A460" t="inlineStr">
        <is>
          <t>b80</t>
        </is>
      </c>
      <c r="B460" t="inlineStr">
        <is>
          <t>VODKA ABSOLUT</t>
        </is>
      </c>
      <c r="C460" t="n">
        <v>14.5</v>
      </c>
    </row>
    <row r="461">
      <c r="A461" t="inlineStr">
        <is>
          <t>b81</t>
        </is>
      </c>
      <c r="B461" t="inlineStr">
        <is>
          <t>GINEBRA BLACK JUNIPER</t>
        </is>
      </c>
      <c r="C461" t="n">
        <v>5</v>
      </c>
    </row>
    <row r="462">
      <c r="A462" t="inlineStr">
        <is>
          <t>p380</t>
        </is>
      </c>
      <c r="B462" t="inlineStr">
        <is>
          <t>CV ARS COLLECTA BLANC D BLANCS</t>
        </is>
      </c>
      <c r="C462" t="n">
        <v>0</v>
      </c>
    </row>
    <row r="463">
      <c r="A463" t="inlineStr">
        <is>
          <t>p381</t>
        </is>
      </c>
      <c r="B463" t="inlineStr">
        <is>
          <t>CV ARS COLLECTA GRAND ROSE</t>
        </is>
      </c>
      <c r="C463" t="n">
        <v>0</v>
      </c>
    </row>
    <row r="464">
      <c r="A464" t="inlineStr">
        <is>
          <t>b82</t>
        </is>
      </c>
      <c r="B464" t="inlineStr">
        <is>
          <t>LICOR DE HIERBAS XANT</t>
        </is>
      </c>
      <c r="C464" t="n">
        <v>0.01</v>
      </c>
    </row>
    <row r="465">
      <c r="A465" t="inlineStr">
        <is>
          <t>p382</t>
        </is>
      </c>
      <c r="B465" t="inlineStr">
        <is>
          <t>CHORIZO CRIOLLO FRESCO</t>
        </is>
      </c>
      <c r="C465" t="n">
        <v>0</v>
      </c>
    </row>
    <row r="466">
      <c r="A466" t="inlineStr">
        <is>
          <t>p383</t>
        </is>
      </c>
      <c r="B466" t="inlineStr">
        <is>
          <t>SALMOREJO FRESCO</t>
        </is>
      </c>
      <c r="C466" t="n">
        <v>0</v>
      </c>
    </row>
    <row r="467">
      <c r="A467" t="inlineStr">
        <is>
          <t>p384</t>
        </is>
      </c>
      <c r="B467" t="inlineStr">
        <is>
          <t>LASAÑA BOLOÑESA</t>
        </is>
      </c>
      <c r="C467" t="n">
        <v>0</v>
      </c>
    </row>
    <row r="468">
      <c r="A468" t="inlineStr">
        <is>
          <t>p385</t>
        </is>
      </c>
      <c r="B468" t="inlineStr">
        <is>
          <t>FLORES COMESTIBLES</t>
        </is>
      </c>
      <c r="C468" t="n">
        <v>0</v>
      </c>
    </row>
    <row r="469">
      <c r="A469" t="inlineStr">
        <is>
          <t>p386</t>
        </is>
      </c>
      <c r="B469" t="inlineStr">
        <is>
          <t>BOLA DE PIZZA</t>
        </is>
      </c>
      <c r="C469" t="n">
        <v>0</v>
      </c>
    </row>
    <row r="470">
      <c r="A470" t="inlineStr">
        <is>
          <t>p387</t>
        </is>
      </c>
      <c r="B470" t="inlineStr">
        <is>
          <t>PATE JAMÓN CURADO 23GRS</t>
        </is>
      </c>
      <c r="C470" t="n">
        <v>0.25</v>
      </c>
    </row>
    <row r="471">
      <c r="A471" t="inlineStr">
        <is>
          <t>p388</t>
        </is>
      </c>
      <c r="B471" t="inlineStr">
        <is>
          <t>SOBRASADA IBERICA</t>
        </is>
      </c>
      <c r="C471" t="n">
        <v>0</v>
      </c>
    </row>
    <row r="472">
      <c r="A472" t="inlineStr">
        <is>
          <t>p389</t>
        </is>
      </c>
      <c r="B472" t="inlineStr">
        <is>
          <t>TOMATE NATURAL 23GRS</t>
        </is>
      </c>
      <c r="C472" t="n">
        <v>0.19</v>
      </c>
    </row>
    <row r="473">
      <c r="A473" t="inlineStr">
        <is>
          <t>p390</t>
        </is>
      </c>
      <c r="B473" t="inlineStr">
        <is>
          <t>ORO BAILEN HOJIBLANCA 250ML</t>
        </is>
      </c>
      <c r="C473" t="n">
        <v>0</v>
      </c>
    </row>
    <row r="474">
      <c r="A474" t="inlineStr">
        <is>
          <t>p391</t>
        </is>
      </c>
      <c r="B474" t="inlineStr">
        <is>
          <t>NECTAR 10 FRUTAS</t>
        </is>
      </c>
      <c r="C474" t="n">
        <v>0</v>
      </c>
    </row>
    <row r="475">
      <c r="A475" t="inlineStr">
        <is>
          <t>p392</t>
        </is>
      </c>
      <c r="B475" t="inlineStr">
        <is>
          <t>PAPAS S.CRUNCH PURE &amp; ROSTIC</t>
        </is>
      </c>
      <c r="C475" t="n">
        <v>5.77</v>
      </c>
    </row>
    <row r="476">
      <c r="A476" t="inlineStr">
        <is>
          <t>p393</t>
        </is>
      </c>
      <c r="B476" t="inlineStr">
        <is>
          <t>PATE IBERICO A LA PIMIENTA 23GRS</t>
        </is>
      </c>
      <c r="C476" t="n">
        <v>0</v>
      </c>
    </row>
    <row r="477">
      <c r="A477" t="inlineStr">
        <is>
          <t>p394</t>
        </is>
      </c>
      <c r="B477" t="inlineStr">
        <is>
          <t>BANDA TIRAMISU</t>
        </is>
      </c>
      <c r="C477" t="n">
        <v>12.62</v>
      </c>
    </row>
    <row r="478">
      <c r="A478" t="inlineStr">
        <is>
          <t>p395</t>
        </is>
      </c>
      <c r="B478" t="inlineStr">
        <is>
          <t>CEREZA ROJA CONFITADA CUBO 1KG</t>
        </is>
      </c>
      <c r="C478" t="n">
        <v>10</v>
      </c>
    </row>
    <row r="479">
      <c r="A479" t="inlineStr">
        <is>
          <t>p396</t>
        </is>
      </c>
      <c r="B479" t="inlineStr">
        <is>
          <t>SURTIDO DE CANAPES</t>
        </is>
      </c>
      <c r="C479" t="n">
        <v>0</v>
      </c>
    </row>
    <row r="480">
      <c r="A480" t="inlineStr">
        <is>
          <t>p397</t>
        </is>
      </c>
      <c r="B480" t="inlineStr">
        <is>
          <t>SIROPE DE CARAMELO</t>
        </is>
      </c>
      <c r="C480" t="n">
        <v>2.79</v>
      </c>
    </row>
    <row r="481">
      <c r="A481" t="inlineStr">
        <is>
          <t>p398</t>
        </is>
      </c>
      <c r="B481" t="inlineStr">
        <is>
          <t>BOMBONA GAS 12KG</t>
        </is>
      </c>
      <c r="C481" t="n">
        <v>48.54</v>
      </c>
    </row>
    <row r="482">
      <c r="A482" t="inlineStr">
        <is>
          <t>p399</t>
        </is>
      </c>
      <c r="B482" t="inlineStr">
        <is>
          <t>BARRIL NAO MARINERA 20LT</t>
        </is>
      </c>
      <c r="C482" t="n">
        <v>84.34999999999999</v>
      </c>
    </row>
    <row r="483">
      <c r="A483" t="inlineStr">
        <is>
          <t>p400</t>
        </is>
      </c>
      <c r="B483" t="inlineStr">
        <is>
          <t>ENTRECOT DE NOVILLO / BIFE</t>
        </is>
      </c>
      <c r="C483" t="n">
        <v>16.97</v>
      </c>
    </row>
    <row r="484">
      <c r="A484" t="inlineStr">
        <is>
          <t>b83</t>
        </is>
      </c>
      <c r="B484" t="inlineStr">
        <is>
          <t>FANTA LIMON LATA</t>
        </is>
      </c>
      <c r="C484" t="n">
        <v>0</v>
      </c>
    </row>
    <row r="485">
      <c r="A485" t="inlineStr">
        <is>
          <t>b84</t>
        </is>
      </c>
      <c r="B485" t="inlineStr">
        <is>
          <t>SPRITE LATA 33</t>
        </is>
      </c>
      <c r="C485" t="n">
        <v>0.48</v>
      </c>
    </row>
    <row r="486">
      <c r="A486" t="inlineStr">
        <is>
          <t>p401</t>
        </is>
      </c>
      <c r="B486" t="inlineStr">
        <is>
          <t>PHILADELPHIA NATURAL</t>
        </is>
      </c>
      <c r="C486" t="n">
        <v>0</v>
      </c>
    </row>
    <row r="487">
      <c r="A487" t="inlineStr">
        <is>
          <t>p402</t>
        </is>
      </c>
      <c r="B487" t="inlineStr">
        <is>
          <t>PATA ASADA</t>
        </is>
      </c>
      <c r="C487" t="n">
        <v>0</v>
      </c>
    </row>
    <row r="488">
      <c r="A488" t="inlineStr">
        <is>
          <t>p403</t>
        </is>
      </c>
      <c r="B488" t="inlineStr">
        <is>
          <t>VERMU NORDESIA TINTO</t>
        </is>
      </c>
      <c r="C488" t="n">
        <v>0.01</v>
      </c>
    </row>
    <row r="489">
      <c r="A489" t="inlineStr">
        <is>
          <t>p404</t>
        </is>
      </c>
      <c r="B489" t="inlineStr">
        <is>
          <t>MINI BERRIBERLYS 55GRS 65UND</t>
        </is>
      </c>
      <c r="C489" t="n">
        <v>0</v>
      </c>
    </row>
    <row r="490">
      <c r="A490" t="inlineStr">
        <is>
          <t>p405</t>
        </is>
      </c>
      <c r="B490" t="inlineStr">
        <is>
          <t>FRUTAS DEL BOSQUE 4X2,5KG</t>
        </is>
      </c>
      <c r="C490" t="n">
        <v>3.6</v>
      </c>
    </row>
    <row r="491">
      <c r="A491" t="inlineStr">
        <is>
          <t>p406</t>
        </is>
      </c>
      <c r="B491" t="inlineStr">
        <is>
          <t>BANDERILLAS GALON 4,2KG</t>
        </is>
      </c>
      <c r="C491" t="n">
        <v>0</v>
      </c>
    </row>
    <row r="492">
      <c r="A492" t="inlineStr">
        <is>
          <t>p407</t>
        </is>
      </c>
      <c r="B492" t="inlineStr">
        <is>
          <t>MAIZ DULCE 300GRS</t>
        </is>
      </c>
      <c r="C492" t="n">
        <v>1.17</v>
      </c>
    </row>
    <row r="493">
      <c r="A493" t="inlineStr">
        <is>
          <t>p408</t>
        </is>
      </c>
      <c r="B493" t="inlineStr">
        <is>
          <t>PAN HAMBURGUESA ESPECIAL</t>
        </is>
      </c>
      <c r="C493" t="n">
        <v>0.32</v>
      </c>
    </row>
    <row r="494">
      <c r="A494" t="inlineStr">
        <is>
          <t>p409</t>
        </is>
      </c>
      <c r="B494" t="inlineStr">
        <is>
          <t>LECHE DE COCO</t>
        </is>
      </c>
      <c r="C494" t="n">
        <v>0.83</v>
      </c>
    </row>
    <row r="495">
      <c r="A495" t="inlineStr">
        <is>
          <t>p410</t>
        </is>
      </c>
      <c r="B495" t="inlineStr">
        <is>
          <t>POSTRES HYP</t>
        </is>
      </c>
      <c r="C495" t="n">
        <v>0</v>
      </c>
    </row>
    <row r="496">
      <c r="A496" t="inlineStr">
        <is>
          <t>p411</t>
        </is>
      </c>
      <c r="B496" t="inlineStr">
        <is>
          <t>VARIOS ARTICULOS ALIMENTACION</t>
        </is>
      </c>
      <c r="C496" t="n">
        <v>0</v>
      </c>
    </row>
    <row r="497">
      <c r="A497" t="inlineStr">
        <is>
          <t>p412</t>
        </is>
      </c>
      <c r="B497" t="inlineStr">
        <is>
          <t>CARNE DE PRIMERA</t>
        </is>
      </c>
      <c r="C497" t="n">
        <v>0</v>
      </c>
    </row>
    <row r="498">
      <c r="A498" t="inlineStr">
        <is>
          <t>p413</t>
        </is>
      </c>
      <c r="B498" t="inlineStr">
        <is>
          <t>CEREZA VERDE EN ALMIBAR DE 1KG</t>
        </is>
      </c>
      <c r="C498" t="n">
        <v>5.59</v>
      </c>
    </row>
    <row r="499">
      <c r="A499" t="inlineStr">
        <is>
          <t>b85</t>
        </is>
      </c>
      <c r="B499" t="inlineStr">
        <is>
          <t>CERVEZA CORONITA MINI</t>
        </is>
      </c>
      <c r="C499" t="n">
        <v>0</v>
      </c>
    </row>
    <row r="500">
      <c r="A500" t="inlineStr">
        <is>
          <t>p414</t>
        </is>
      </c>
      <c r="B500" t="inlineStr">
        <is>
          <t>APIO BLANCO BOLSA</t>
        </is>
      </c>
      <c r="C500" t="n">
        <v>1.7</v>
      </c>
    </row>
    <row r="501">
      <c r="A501" t="inlineStr">
        <is>
          <t>p415</t>
        </is>
      </c>
      <c r="B501" t="inlineStr">
        <is>
          <t>GRANADAS GRANDES EXTRA</t>
        </is>
      </c>
      <c r="C501" t="n">
        <v>0</v>
      </c>
    </row>
    <row r="502">
      <c r="A502" t="inlineStr">
        <is>
          <t>p416</t>
        </is>
      </c>
      <c r="B502" t="inlineStr">
        <is>
          <t>GAMBON Nº1</t>
        </is>
      </c>
      <c r="C502" t="n">
        <v>11.55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2" customWidth="1" min="3" max="3"/>
    <col width="12" customWidth="1" min="4" max="4"/>
    <col width="10" customWidth="1" min="5" max="5"/>
    <col width="12" customWidth="1" min="6" max="6"/>
    <col width="16" customWidth="1" min="7" max="7"/>
    <col width="12" customWidth="1" min="8" max="8"/>
    <col width="12" customWidth="1" min="9" max="9"/>
    <col width="8" customWidth="1" min="10" max="10"/>
  </cols>
  <sheetData>
    <row r="1">
      <c r="A1" s="8" t="inlineStr">
        <is>
          <t>Seccion</t>
        </is>
      </c>
      <c r="B1" s="8" t="inlineStr">
        <is>
          <t>Orden</t>
        </is>
      </c>
      <c r="C1" s="8" t="inlineStr">
        <is>
          <t>Concepto</t>
        </is>
      </c>
      <c r="D1" s="8" t="inlineStr">
        <is>
          <t>ProductoId</t>
        </is>
      </c>
      <c r="E1" s="8" t="inlineStr">
        <is>
          <t>Unidad</t>
        </is>
      </c>
      <c r="F1" s="8" t="inlineStr">
        <is>
          <t>CantDefecto</t>
        </is>
      </c>
      <c r="G1" s="8" t="inlineStr">
        <is>
          <t>Tipo</t>
        </is>
      </c>
      <c r="H1" s="8" t="inlineStr">
        <is>
          <t>ProductoBote</t>
        </is>
      </c>
      <c r="I1" s="8" t="inlineStr">
        <is>
          <t>RecetaId</t>
        </is>
      </c>
      <c r="J1" s="8" t="inlineStr">
        <is>
          <t>Activo</t>
        </is>
      </c>
    </row>
    <row r="2">
      <c r="A2" s="12" t="inlineStr">
        <is>
          <t>Bolleria</t>
        </is>
      </c>
      <c r="B2" s="12" t="n">
        <v>20</v>
      </c>
      <c r="C2" s="12" t="inlineStr">
        <is>
          <t>Napolitana cacao</t>
        </is>
      </c>
      <c r="D2" s="12" t="inlineStr">
        <is>
          <t>p251</t>
        </is>
      </c>
      <c r="E2" s="12" t="inlineStr">
        <is>
          <t>ud</t>
        </is>
      </c>
      <c r="F2" s="12" t="n">
        <v>0.01</v>
      </c>
      <c r="G2" s="12" t="inlineStr">
        <is>
          <t>simple</t>
        </is>
      </c>
      <c r="H2" s="12" t="inlineStr"/>
      <c r="I2" s="12" t="inlineStr"/>
      <c r="J2" s="12" t="inlineStr">
        <is>
          <t>Si</t>
        </is>
      </c>
    </row>
    <row r="3">
      <c r="A3" s="12" t="inlineStr">
        <is>
          <t>Bolleria</t>
        </is>
      </c>
      <c r="B3" s="12" t="n">
        <v>21</v>
      </c>
      <c r="C3" s="12" t="inlineStr">
        <is>
          <t>Chic crema</t>
        </is>
      </c>
      <c r="D3" s="12" t="inlineStr">
        <is>
          <t>p294</t>
        </is>
      </c>
      <c r="E3" s="12" t="inlineStr">
        <is>
          <t>ud</t>
        </is>
      </c>
      <c r="F3" s="12" t="n">
        <v>0.003077</v>
      </c>
      <c r="G3" s="12" t="inlineStr">
        <is>
          <t>simple</t>
        </is>
      </c>
      <c r="H3" s="12" t="inlineStr"/>
      <c r="I3" s="12" t="inlineStr"/>
      <c r="J3" s="12" t="inlineStr">
        <is>
          <t>Si</t>
        </is>
      </c>
    </row>
    <row r="4">
      <c r="A4" s="12" t="inlineStr">
        <is>
          <t>Bolleria</t>
        </is>
      </c>
      <c r="B4" s="12" t="n">
        <v>22</v>
      </c>
      <c r="C4" s="12" t="inlineStr">
        <is>
          <t>Lazo cereal</t>
        </is>
      </c>
      <c r="D4" s="12" t="inlineStr">
        <is>
          <t>p250</t>
        </is>
      </c>
      <c r="E4" s="12" t="inlineStr">
        <is>
          <t>ud</t>
        </is>
      </c>
      <c r="F4" s="12" t="n">
        <v>0.005155</v>
      </c>
      <c r="G4" s="12" t="inlineStr">
        <is>
          <t>simple</t>
        </is>
      </c>
      <c r="H4" s="12" t="inlineStr"/>
      <c r="I4" s="12" t="inlineStr"/>
      <c r="J4" s="12" t="inlineStr">
        <is>
          <t>Si</t>
        </is>
      </c>
    </row>
    <row r="5">
      <c r="A5" s="12" t="inlineStr">
        <is>
          <t>Bolleria</t>
        </is>
      </c>
      <c r="B5" s="12" t="n">
        <v>23</v>
      </c>
      <c r="C5" s="12" t="inlineStr">
        <is>
          <t>Croissant mantequilla</t>
        </is>
      </c>
      <c r="D5" s="12" t="inlineStr">
        <is>
          <t>p249</t>
        </is>
      </c>
      <c r="E5" s="12" t="inlineStr">
        <is>
          <t>ud</t>
        </is>
      </c>
      <c r="F5" s="12" t="n">
        <v>0.003571</v>
      </c>
      <c r="G5" s="12" t="inlineStr">
        <is>
          <t>simple</t>
        </is>
      </c>
      <c r="H5" s="12" t="inlineStr"/>
      <c r="I5" s="12" t="inlineStr"/>
      <c r="J5" s="12" t="inlineStr">
        <is>
          <t>Si</t>
        </is>
      </c>
    </row>
    <row r="6">
      <c r="A6" s="12" t="inlineStr">
        <is>
          <t>Bolleria</t>
        </is>
      </c>
      <c r="B6" s="12" t="n">
        <v>24</v>
      </c>
      <c r="C6" s="12" t="inlineStr">
        <is>
          <t>Croissant chocolate</t>
        </is>
      </c>
      <c r="D6" s="12" t="inlineStr">
        <is>
          <t>b01</t>
        </is>
      </c>
      <c r="E6" s="12" t="inlineStr">
        <is>
          <t>ud</t>
        </is>
      </c>
      <c r="F6" s="12" t="n">
        <v>0.005051</v>
      </c>
      <c r="G6" s="12" t="inlineStr">
        <is>
          <t>simple</t>
        </is>
      </c>
      <c r="H6" s="12" t="inlineStr"/>
      <c r="I6" s="12" t="inlineStr"/>
      <c r="J6" s="12" t="inlineStr">
        <is>
          <t>Si</t>
        </is>
      </c>
    </row>
    <row r="7">
      <c r="A7" s="12" t="inlineStr">
        <is>
          <t>Bolleria</t>
        </is>
      </c>
      <c r="B7" s="12" t="n">
        <v>25</v>
      </c>
      <c r="C7" s="12" t="inlineStr">
        <is>
          <t>Surtido reposteria</t>
        </is>
      </c>
      <c r="D7" s="12" t="inlineStr">
        <is>
          <t>p08</t>
        </is>
      </c>
      <c r="E7" s="12" t="inlineStr">
        <is>
          <t>gr</t>
        </is>
      </c>
      <c r="F7" s="12" t="n">
        <v>0.05</v>
      </c>
      <c r="G7" s="12" t="inlineStr">
        <is>
          <t>simple</t>
        </is>
      </c>
      <c r="H7" s="12" t="inlineStr"/>
      <c r="I7" s="12" t="inlineStr"/>
      <c r="J7" s="12" t="inlineStr">
        <is>
          <t>Si</t>
        </is>
      </c>
    </row>
    <row r="8">
      <c r="A8" s="12" t="inlineStr">
        <is>
          <t>Embutidos</t>
        </is>
      </c>
      <c r="B8" s="12" t="n">
        <v>10</v>
      </c>
      <c r="C8" s="12" t="inlineStr">
        <is>
          <t>Paleta iberica</t>
        </is>
      </c>
      <c r="D8" s="12" t="inlineStr">
        <is>
          <t>p358</t>
        </is>
      </c>
      <c r="E8" s="12" t="inlineStr">
        <is>
          <t>gr</t>
        </is>
      </c>
      <c r="F8" s="12" t="n">
        <v>0.02</v>
      </c>
      <c r="G8" s="12" t="inlineStr">
        <is>
          <t>simple</t>
        </is>
      </c>
      <c r="H8" s="12" t="inlineStr"/>
      <c r="I8" s="12" t="inlineStr"/>
      <c r="J8" s="12" t="inlineStr">
        <is>
          <t>Si</t>
        </is>
      </c>
    </row>
    <row r="9">
      <c r="A9" s="12" t="inlineStr">
        <is>
          <t>Embutidos</t>
        </is>
      </c>
      <c r="B9" s="12" t="n">
        <v>11</v>
      </c>
      <c r="C9" s="12" t="inlineStr">
        <is>
          <t>Mortadela</t>
        </is>
      </c>
      <c r="D9" s="12" t="inlineStr">
        <is>
          <t>p89</t>
        </is>
      </c>
      <c r="E9" s="12" t="inlineStr">
        <is>
          <t>gr</t>
        </is>
      </c>
      <c r="F9" s="12" t="n">
        <v>0.02</v>
      </c>
      <c r="G9" s="12" t="inlineStr">
        <is>
          <t>simple</t>
        </is>
      </c>
      <c r="H9" s="12" t="inlineStr"/>
      <c r="I9" s="12" t="inlineStr"/>
      <c r="J9" s="12" t="inlineStr">
        <is>
          <t>Si</t>
        </is>
      </c>
    </row>
    <row r="10">
      <c r="A10" s="12" t="inlineStr">
        <is>
          <t>Embutidos</t>
        </is>
      </c>
      <c r="B10" s="12" t="n">
        <v>12</v>
      </c>
      <c r="C10" s="12" t="inlineStr">
        <is>
          <t>Salchichon iberico</t>
        </is>
      </c>
      <c r="D10" s="12" t="inlineStr">
        <is>
          <t>p34</t>
        </is>
      </c>
      <c r="E10" s="12" t="inlineStr">
        <is>
          <t>gr</t>
        </is>
      </c>
      <c r="F10" s="12" t="n">
        <v>0.02</v>
      </c>
      <c r="G10" s="12" t="inlineStr">
        <is>
          <t>simple</t>
        </is>
      </c>
      <c r="H10" s="12" t="inlineStr"/>
      <c r="I10" s="12" t="inlineStr"/>
      <c r="J10" s="12" t="inlineStr">
        <is>
          <t>Si</t>
        </is>
      </c>
    </row>
    <row r="11">
      <c r="A11" s="12" t="inlineStr">
        <is>
          <t>Embutidos</t>
        </is>
      </c>
      <c r="B11" s="12" t="n">
        <v>13</v>
      </c>
      <c r="C11" s="12" t="inlineStr">
        <is>
          <t>Queso gofio</t>
        </is>
      </c>
      <c r="D11" s="12" t="inlineStr">
        <is>
          <t>p37</t>
        </is>
      </c>
      <c r="E11" s="12" t="inlineStr">
        <is>
          <t>gr</t>
        </is>
      </c>
      <c r="F11" s="12" t="n">
        <v>0.02</v>
      </c>
      <c r="G11" s="12" t="inlineStr">
        <is>
          <t>simple</t>
        </is>
      </c>
      <c r="H11" s="12" t="inlineStr"/>
      <c r="I11" s="12" t="inlineStr"/>
      <c r="J11" s="12" t="inlineStr">
        <is>
          <t>Si</t>
        </is>
      </c>
    </row>
    <row r="12">
      <c r="A12" s="12" t="inlineStr">
        <is>
          <t>Embutidos</t>
        </is>
      </c>
      <c r="B12" s="12" t="n">
        <v>14</v>
      </c>
      <c r="C12" s="12" t="inlineStr">
        <is>
          <t>Queso pimenton</t>
        </is>
      </c>
      <c r="D12" s="12" t="inlineStr">
        <is>
          <t>b04</t>
        </is>
      </c>
      <c r="E12" s="12" t="inlineStr">
        <is>
          <t>gr</t>
        </is>
      </c>
      <c r="F12" s="12" t="n">
        <v>0.02</v>
      </c>
      <c r="G12" s="12" t="inlineStr">
        <is>
          <t>simple</t>
        </is>
      </c>
      <c r="H12" s="12" t="inlineStr"/>
      <c r="I12" s="12" t="inlineStr"/>
      <c r="J12" s="12" t="inlineStr">
        <is>
          <t>Si</t>
        </is>
      </c>
    </row>
    <row r="13">
      <c r="A13" s="12" t="inlineStr">
        <is>
          <t>Embutidos</t>
        </is>
      </c>
      <c r="B13" s="12" t="n">
        <v>15</v>
      </c>
      <c r="C13" s="12" t="inlineStr">
        <is>
          <t>Queso fresco</t>
        </is>
      </c>
      <c r="D13" s="12" t="inlineStr">
        <is>
          <t>p38</t>
        </is>
      </c>
      <c r="E13" s="12" t="inlineStr">
        <is>
          <t>gr</t>
        </is>
      </c>
      <c r="F13" s="12" t="n">
        <v>0.02</v>
      </c>
      <c r="G13" s="12" t="inlineStr">
        <is>
          <t>simple</t>
        </is>
      </c>
      <c r="H13" s="12" t="inlineStr"/>
      <c r="I13" s="12" t="inlineStr"/>
      <c r="J13" s="12" t="inlineStr">
        <is>
          <t>Si</t>
        </is>
      </c>
    </row>
    <row r="14">
      <c r="A14" s="12" t="inlineStr">
        <is>
          <t>Estandar</t>
        </is>
      </c>
      <c r="B14" s="12" t="n">
        <v>26</v>
      </c>
      <c r="C14" s="12" t="inlineStr">
        <is>
          <t>Estándar buffet desayuno diario</t>
        </is>
      </c>
      <c r="D14" s="12" t="inlineStr"/>
      <c r="E14" s="12" t="inlineStr">
        <is>
          <t>porciones</t>
        </is>
      </c>
      <c r="F14" s="12" t="n">
        <v>1</v>
      </c>
      <c r="G14" s="12" t="inlineStr">
        <is>
          <t>receta_estandar</t>
        </is>
      </c>
      <c r="H14" s="12" t="inlineStr"/>
      <c r="I14" s="12" t="inlineStr">
        <is>
          <t>r137</t>
        </is>
      </c>
      <c r="J14" s="12" t="inlineStr">
        <is>
          <t>Si</t>
        </is>
      </c>
    </row>
    <row r="15">
      <c r="A15" s="12" t="inlineStr">
        <is>
          <t>Frutas</t>
        </is>
      </c>
      <c r="B15" s="12" t="n">
        <v>1</v>
      </c>
      <c r="C15" s="12" t="inlineStr">
        <is>
          <t>Kiwi</t>
        </is>
      </c>
      <c r="D15" s="12" t="inlineStr">
        <is>
          <t>p71</t>
        </is>
      </c>
      <c r="E15" s="12" t="inlineStr">
        <is>
          <t>gr</t>
        </is>
      </c>
      <c r="F15" s="12" t="n">
        <v>0.08</v>
      </c>
      <c r="G15" s="12" t="inlineStr">
        <is>
          <t>simple</t>
        </is>
      </c>
      <c r="H15" s="12" t="inlineStr"/>
      <c r="I15" s="12" t="inlineStr"/>
      <c r="J15" s="12" t="inlineStr">
        <is>
          <t>Si</t>
        </is>
      </c>
    </row>
    <row r="16">
      <c r="A16" s="12" t="inlineStr">
        <is>
          <t>Frutas</t>
        </is>
      </c>
      <c r="B16" s="12" t="n">
        <v>2</v>
      </c>
      <c r="C16" s="12" t="inlineStr">
        <is>
          <t>Papaya</t>
        </is>
      </c>
      <c r="D16" s="12" t="inlineStr">
        <is>
          <t>p70</t>
        </is>
      </c>
      <c r="E16" s="12" t="inlineStr">
        <is>
          <t>gr</t>
        </is>
      </c>
      <c r="F16" s="12" t="n">
        <v>0.08</v>
      </c>
      <c r="G16" s="12" t="inlineStr">
        <is>
          <t>simple</t>
        </is>
      </c>
      <c r="H16" s="12" t="inlineStr"/>
      <c r="I16" s="12" t="inlineStr"/>
      <c r="J16" s="12" t="inlineStr">
        <is>
          <t>Si</t>
        </is>
      </c>
    </row>
    <row r="17">
      <c r="A17" s="12" t="inlineStr">
        <is>
          <t>Frutas</t>
        </is>
      </c>
      <c r="B17" s="12" t="n">
        <v>3</v>
      </c>
      <c r="C17" s="12" t="inlineStr">
        <is>
          <t>Melon</t>
        </is>
      </c>
      <c r="D17" s="12" t="inlineStr">
        <is>
          <t>p69</t>
        </is>
      </c>
      <c r="E17" s="12" t="inlineStr">
        <is>
          <t>gr</t>
        </is>
      </c>
      <c r="F17" s="12" t="n">
        <v>0.08</v>
      </c>
      <c r="G17" s="12" t="inlineStr">
        <is>
          <t>simple</t>
        </is>
      </c>
      <c r="H17" s="12" t="inlineStr"/>
      <c r="I17" s="12" t="inlineStr"/>
      <c r="J17" s="12" t="inlineStr">
        <is>
          <t>Si</t>
        </is>
      </c>
    </row>
    <row r="18">
      <c r="A18" s="12" t="inlineStr">
        <is>
          <t>Frutas</t>
        </is>
      </c>
      <c r="B18" s="12" t="n">
        <v>4</v>
      </c>
      <c r="C18" s="12" t="inlineStr">
        <is>
          <t>Sandia</t>
        </is>
      </c>
      <c r="D18" s="12" t="inlineStr">
        <is>
          <t>p83</t>
        </is>
      </c>
      <c r="E18" s="12" t="inlineStr">
        <is>
          <t>gr</t>
        </is>
      </c>
      <c r="F18" s="12" t="n">
        <v>0.08</v>
      </c>
      <c r="G18" s="12" t="inlineStr">
        <is>
          <t>simple</t>
        </is>
      </c>
      <c r="H18" s="12" t="inlineStr"/>
      <c r="I18" s="12" t="inlineStr"/>
      <c r="J18" s="12" t="inlineStr">
        <is>
          <t>Si</t>
        </is>
      </c>
    </row>
    <row r="19">
      <c r="A19" s="12" t="inlineStr">
        <is>
          <t>Frutas</t>
        </is>
      </c>
      <c r="B19" s="12" t="n">
        <v>5</v>
      </c>
      <c r="C19" s="12" t="inlineStr">
        <is>
          <t>Pomelo</t>
        </is>
      </c>
      <c r="D19" s="12" t="inlineStr">
        <is>
          <t>p99</t>
        </is>
      </c>
      <c r="E19" s="12" t="inlineStr">
        <is>
          <t>gr</t>
        </is>
      </c>
      <c r="F19" s="12" t="n">
        <v>0.08</v>
      </c>
      <c r="G19" s="12" t="inlineStr">
        <is>
          <t>simple</t>
        </is>
      </c>
      <c r="H19" s="12" t="inlineStr"/>
      <c r="I19" s="12" t="inlineStr"/>
      <c r="J19" s="12" t="inlineStr">
        <is>
          <t>Si</t>
        </is>
      </c>
    </row>
    <row r="20">
      <c r="A20" s="12" t="inlineStr">
        <is>
          <t>Frutas</t>
        </is>
      </c>
      <c r="B20" s="12" t="n">
        <v>6</v>
      </c>
      <c r="C20" s="12" t="inlineStr">
        <is>
          <t>Naranja</t>
        </is>
      </c>
      <c r="D20" s="12" t="inlineStr">
        <is>
          <t>b06</t>
        </is>
      </c>
      <c r="E20" s="12" t="inlineStr">
        <is>
          <t>gr</t>
        </is>
      </c>
      <c r="F20" s="12" t="n">
        <v>0.08</v>
      </c>
      <c r="G20" s="12" t="inlineStr">
        <is>
          <t>simple</t>
        </is>
      </c>
      <c r="H20" s="12" t="inlineStr"/>
      <c r="I20" s="12" t="inlineStr"/>
      <c r="J20" s="12" t="inlineStr">
        <is>
          <t>Si</t>
        </is>
      </c>
    </row>
    <row r="21">
      <c r="A21" s="12" t="inlineStr">
        <is>
          <t>Frutas</t>
        </is>
      </c>
      <c r="B21" s="12" t="n">
        <v>7</v>
      </c>
      <c r="C21" s="12" t="inlineStr">
        <is>
          <t>Platano</t>
        </is>
      </c>
      <c r="D21" s="12" t="inlineStr">
        <is>
          <t>p66</t>
        </is>
      </c>
      <c r="E21" s="12" t="inlineStr">
        <is>
          <t>Ud</t>
        </is>
      </c>
      <c r="F21" s="12" t="n">
        <v>1</v>
      </c>
      <c r="G21" s="12" t="inlineStr">
        <is>
          <t>simple</t>
        </is>
      </c>
      <c r="H21" s="12" t="inlineStr"/>
      <c r="I21" s="12" t="inlineStr"/>
      <c r="J21" s="12" t="inlineStr">
        <is>
          <t>Si</t>
        </is>
      </c>
    </row>
    <row r="22">
      <c r="A22" s="12" t="inlineStr">
        <is>
          <t>Frutas</t>
        </is>
      </c>
      <c r="B22" s="12" t="n">
        <v>8</v>
      </c>
      <c r="C22" s="12" t="inlineStr">
        <is>
          <t>Pina</t>
        </is>
      </c>
      <c r="D22" s="12" t="inlineStr">
        <is>
          <t>p68</t>
        </is>
      </c>
      <c r="E22" s="12" t="inlineStr">
        <is>
          <t>gr</t>
        </is>
      </c>
      <c r="F22" s="12" t="n">
        <v>0.08</v>
      </c>
      <c r="G22" s="12" t="inlineStr">
        <is>
          <t>simple</t>
        </is>
      </c>
      <c r="H22" s="12" t="inlineStr"/>
      <c r="I22" s="12" t="inlineStr"/>
      <c r="J22" s="12" t="inlineStr">
        <is>
          <t>Si</t>
        </is>
      </c>
    </row>
    <row r="23">
      <c r="A23" s="12" t="inlineStr">
        <is>
          <t>Frutas</t>
        </is>
      </c>
      <c r="B23" s="12" t="n">
        <v>9</v>
      </c>
      <c r="C23" s="12" t="inlineStr">
        <is>
          <t>Melocoton almibar</t>
        </is>
      </c>
      <c r="D23" s="12" t="inlineStr">
        <is>
          <t>p122</t>
        </is>
      </c>
      <c r="E23" s="12" t="inlineStr">
        <is>
          <t>Ud</t>
        </is>
      </c>
      <c r="F23" s="12" t="n">
        <v>1</v>
      </c>
      <c r="G23" s="12" t="inlineStr">
        <is>
          <t>simple</t>
        </is>
      </c>
      <c r="H23" s="12" t="inlineStr"/>
      <c r="I23" s="12" t="inlineStr"/>
      <c r="J23" s="12" t="inlineStr">
        <is>
          <t>Si</t>
        </is>
      </c>
    </row>
    <row r="24">
      <c r="A24" s="12" t="inlineStr">
        <is>
          <t>Jarras</t>
        </is>
      </c>
      <c r="B24" s="12" t="n">
        <v>27</v>
      </c>
      <c r="C24" s="12" t="inlineStr">
        <is>
          <t>Jarra leche entera 1L</t>
        </is>
      </c>
      <c r="D24" s="12" t="inlineStr">
        <is>
          <t>p127</t>
        </is>
      </c>
      <c r="E24" s="12" t="inlineStr">
        <is>
          <t>Ud</t>
        </is>
      </c>
      <c r="F24" s="12" t="n">
        <v>1</v>
      </c>
      <c r="G24" s="12" t="inlineStr">
        <is>
          <t>simple</t>
        </is>
      </c>
      <c r="H24" s="12" t="inlineStr"/>
      <c r="I24" s="12" t="inlineStr"/>
      <c r="J24" s="12" t="inlineStr">
        <is>
          <t>Si</t>
        </is>
      </c>
    </row>
    <row r="25">
      <c r="A25" s="12" t="inlineStr">
        <is>
          <t>Jarras</t>
        </is>
      </c>
      <c r="B25" s="12" t="n">
        <v>28</v>
      </c>
      <c r="C25" s="12" t="inlineStr">
        <is>
          <t>Jarra leche semi 1L</t>
        </is>
      </c>
      <c r="D25" s="12" t="inlineStr">
        <is>
          <t>p128</t>
        </is>
      </c>
      <c r="E25" s="12" t="inlineStr">
        <is>
          <t>Ud</t>
        </is>
      </c>
      <c r="F25" s="12" t="n">
        <v>1</v>
      </c>
      <c r="G25" s="12" t="inlineStr">
        <is>
          <t>simple</t>
        </is>
      </c>
      <c r="H25" s="12" t="inlineStr"/>
      <c r="I25" s="12" t="inlineStr"/>
      <c r="J25" s="12" t="inlineStr">
        <is>
          <t>Si</t>
        </is>
      </c>
    </row>
    <row r="26">
      <c r="A26" s="12" t="inlineStr">
        <is>
          <t>Jarras</t>
        </is>
      </c>
      <c r="B26" s="12" t="n">
        <v>29</v>
      </c>
      <c r="C26" s="12" t="inlineStr">
        <is>
          <t>Jarra zumo manzana</t>
        </is>
      </c>
      <c r="D26" s="12" t="inlineStr"/>
      <c r="E26" s="12" t="inlineStr">
        <is>
          <t>Ud</t>
        </is>
      </c>
      <c r="F26" s="12" t="n">
        <v>1</v>
      </c>
      <c r="G26" s="12" t="inlineStr">
        <is>
          <t>simple</t>
        </is>
      </c>
      <c r="H26" s="12" t="inlineStr"/>
      <c r="I26" s="12" t="inlineStr"/>
      <c r="J26" s="12" t="inlineStr">
        <is>
          <t>Si</t>
        </is>
      </c>
    </row>
    <row r="27">
      <c r="A27" s="12" t="inlineStr">
        <is>
          <t>Jarras</t>
        </is>
      </c>
      <c r="B27" s="12" t="n">
        <v>30</v>
      </c>
      <c r="C27" s="12" t="inlineStr">
        <is>
          <t>Jarra zumo piña</t>
        </is>
      </c>
      <c r="D27" s="12" t="inlineStr"/>
      <c r="E27" s="12" t="inlineStr">
        <is>
          <t>Ud</t>
        </is>
      </c>
      <c r="F27" s="12" t="n">
        <v>1</v>
      </c>
      <c r="G27" s="12" t="inlineStr">
        <is>
          <t>simple</t>
        </is>
      </c>
      <c r="H27" s="12" t="inlineStr"/>
      <c r="I27" s="12" t="inlineStr"/>
      <c r="J27" s="12" t="inlineStr">
        <is>
          <t>Si</t>
        </is>
      </c>
    </row>
    <row r="28">
      <c r="A28" s="12" t="inlineStr">
        <is>
          <t>Jarras</t>
        </is>
      </c>
      <c r="B28" s="12" t="n">
        <v>31</v>
      </c>
      <c r="C28" s="12" t="inlineStr">
        <is>
          <t>Jarra zumo cranberry</t>
        </is>
      </c>
      <c r="D28" s="12" t="inlineStr"/>
      <c r="E28" s="12" t="inlineStr">
        <is>
          <t>Ud</t>
        </is>
      </c>
      <c r="F28" s="12" t="n">
        <v>1</v>
      </c>
      <c r="G28" s="12" t="inlineStr">
        <is>
          <t>simple</t>
        </is>
      </c>
      <c r="H28" s="12" t="inlineStr"/>
      <c r="I28" s="12" t="inlineStr"/>
      <c r="J28" s="12" t="inlineStr">
        <is>
          <t>Si</t>
        </is>
      </c>
    </row>
    <row r="29">
      <c r="A29" s="12" t="inlineStr">
        <is>
          <t>Jarras</t>
        </is>
      </c>
      <c r="B29" s="12" t="n">
        <v>32</v>
      </c>
      <c r="C29" s="12" t="inlineStr">
        <is>
          <t>Jarra zumo naranja</t>
        </is>
      </c>
      <c r="D29" s="12" t="inlineStr">
        <is>
          <t>b06</t>
        </is>
      </c>
      <c r="E29" s="12" t="inlineStr">
        <is>
          <t>Ud</t>
        </is>
      </c>
      <c r="F29" s="12" t="n">
        <v>1</v>
      </c>
      <c r="G29" s="12" t="inlineStr">
        <is>
          <t>jarra_zumo</t>
        </is>
      </c>
      <c r="H29" s="12" t="inlineStr">
        <is>
          <t>b28</t>
        </is>
      </c>
      <c r="I29" s="12" t="inlineStr"/>
      <c r="J29" s="12" t="inlineStr">
        <is>
          <t>Si</t>
        </is>
      </c>
    </row>
    <row r="30">
      <c r="A30" s="12" t="inlineStr">
        <is>
          <t>Pan</t>
        </is>
      </c>
      <c r="B30" s="12" t="n">
        <v>16</v>
      </c>
      <c r="C30" s="12" t="inlineStr">
        <is>
          <t>Pan gallego</t>
        </is>
      </c>
      <c r="D30" s="12" t="inlineStr">
        <is>
          <t>p05</t>
        </is>
      </c>
      <c r="E30" s="12" t="inlineStr">
        <is>
          <t>ud</t>
        </is>
      </c>
      <c r="F30" s="12" t="n">
        <v>0.05</v>
      </c>
      <c r="G30" s="12" t="inlineStr">
        <is>
          <t>simple</t>
        </is>
      </c>
      <c r="H30" s="12" t="inlineStr"/>
      <c r="I30" s="12" t="inlineStr"/>
      <c r="J30" s="12" t="inlineStr">
        <is>
          <t>Si</t>
        </is>
      </c>
    </row>
    <row r="31">
      <c r="A31" s="12" t="inlineStr">
        <is>
          <t>Pan</t>
        </is>
      </c>
      <c r="B31" s="12" t="n">
        <v>17</v>
      </c>
      <c r="C31" s="12" t="inlineStr">
        <is>
          <t>Pan maiz</t>
        </is>
      </c>
      <c r="D31" s="12" t="inlineStr">
        <is>
          <t>p357</t>
        </is>
      </c>
      <c r="E31" s="12" t="inlineStr">
        <is>
          <t>ud</t>
        </is>
      </c>
      <c r="F31" s="12" t="n">
        <v>0.1</v>
      </c>
      <c r="G31" s="12" t="inlineStr">
        <is>
          <t>simple</t>
        </is>
      </c>
      <c r="H31" s="12" t="inlineStr"/>
      <c r="I31" s="12" t="inlineStr"/>
      <c r="J31" s="12" t="inlineStr">
        <is>
          <t>Si</t>
        </is>
      </c>
    </row>
    <row r="32">
      <c r="A32" s="12" t="inlineStr">
        <is>
          <t>Pan</t>
        </is>
      </c>
      <c r="B32" s="12" t="n">
        <v>18</v>
      </c>
      <c r="C32" s="12" t="inlineStr">
        <is>
          <t>Pan centeno</t>
        </is>
      </c>
      <c r="D32" s="12" t="inlineStr">
        <is>
          <t>p276</t>
        </is>
      </c>
      <c r="E32" s="12" t="inlineStr">
        <is>
          <t>ud</t>
        </is>
      </c>
      <c r="F32" s="12" t="n">
        <v>0.05</v>
      </c>
      <c r="G32" s="12" t="inlineStr">
        <is>
          <t>simple</t>
        </is>
      </c>
      <c r="H32" s="12" t="inlineStr"/>
      <c r="I32" s="12" t="inlineStr"/>
      <c r="J32" s="12" t="inlineStr">
        <is>
          <t>Si</t>
        </is>
      </c>
    </row>
    <row r="33">
      <c r="A33" s="12" t="inlineStr">
        <is>
          <t>Pan</t>
        </is>
      </c>
      <c r="B33" s="12" t="n">
        <v>19</v>
      </c>
      <c r="C33" s="12" t="inlineStr">
        <is>
          <t>Baguettina</t>
        </is>
      </c>
      <c r="D33" s="12" t="inlineStr">
        <is>
          <t>p252</t>
        </is>
      </c>
      <c r="E33" s="12" t="inlineStr">
        <is>
          <t>ud</t>
        </is>
      </c>
      <c r="F33" s="12" t="n">
        <v>0.015152</v>
      </c>
      <c r="G33" s="12" t="inlineStr">
        <is>
          <t>simple</t>
        </is>
      </c>
      <c r="H33" s="12" t="inlineStr"/>
      <c r="I33" s="12" t="inlineStr"/>
      <c r="J33" s="12" t="inlineStr">
        <is>
          <t>Si</t>
        </is>
      </c>
    </row>
    <row r="34">
      <c r="A34" s="12" t="inlineStr">
        <is>
          <t>Porciones</t>
        </is>
      </c>
      <c r="B34" s="12" t="n">
        <v>33</v>
      </c>
      <c r="C34" s="12" t="inlineStr">
        <is>
          <t>Mantequilla porcion</t>
        </is>
      </c>
      <c r="D34" s="12" t="inlineStr">
        <is>
          <t>p152</t>
        </is>
      </c>
      <c r="E34" s="12" t="inlineStr">
        <is>
          <t>gr</t>
        </is>
      </c>
      <c r="F34" s="12" t="n">
        <v>0.015</v>
      </c>
      <c r="G34" s="12" t="inlineStr">
        <is>
          <t>simple</t>
        </is>
      </c>
      <c r="H34" s="12" t="inlineStr"/>
      <c r="I34" s="12" t="inlineStr"/>
      <c r="J34" s="12" t="inlineStr">
        <is>
          <t>Si</t>
        </is>
      </c>
    </row>
    <row r="35">
      <c r="A35" s="12" t="inlineStr">
        <is>
          <t>Porciones</t>
        </is>
      </c>
      <c r="B35" s="12" t="n">
        <v>34</v>
      </c>
      <c r="C35" s="12" t="inlineStr">
        <is>
          <t>Margarina porcion</t>
        </is>
      </c>
      <c r="D35" s="12" t="inlineStr">
        <is>
          <t>p153</t>
        </is>
      </c>
      <c r="E35" s="12" t="inlineStr">
        <is>
          <t>gr</t>
        </is>
      </c>
      <c r="F35" s="12" t="n">
        <v>0.015</v>
      </c>
      <c r="G35" s="12" t="inlineStr">
        <is>
          <t>simple</t>
        </is>
      </c>
      <c r="H35" s="12" t="inlineStr"/>
      <c r="I35" s="12" t="inlineStr"/>
      <c r="J35" s="12" t="inlineStr">
        <is>
          <t>Si</t>
        </is>
      </c>
    </row>
    <row r="36">
      <c r="A36" s="12" t="inlineStr">
        <is>
          <t>Porciones</t>
        </is>
      </c>
      <c r="B36" s="12" t="n">
        <v>35</v>
      </c>
      <c r="C36" s="12" t="inlineStr">
        <is>
          <t>Mermelada fresa</t>
        </is>
      </c>
      <c r="D36" s="12" t="inlineStr">
        <is>
          <t>p160</t>
        </is>
      </c>
      <c r="E36" s="12" t="inlineStr">
        <is>
          <t>gr</t>
        </is>
      </c>
      <c r="F36" s="12" t="n">
        <v>0.02</v>
      </c>
      <c r="G36" s="12" t="inlineStr">
        <is>
          <t>simple</t>
        </is>
      </c>
      <c r="H36" s="12" t="inlineStr"/>
      <c r="I36" s="12" t="inlineStr"/>
      <c r="J36" s="12" t="inlineStr">
        <is>
          <t>Si</t>
        </is>
      </c>
    </row>
    <row r="37">
      <c r="A37" s="12" t="inlineStr">
        <is>
          <t>Porciones</t>
        </is>
      </c>
      <c r="B37" s="12" t="n">
        <v>36</v>
      </c>
      <c r="C37" s="12" t="inlineStr">
        <is>
          <t>Mermelada naranja</t>
        </is>
      </c>
      <c r="D37" s="12" t="inlineStr">
        <is>
          <t>p161</t>
        </is>
      </c>
      <c r="E37" s="12" t="inlineStr">
        <is>
          <t>gr</t>
        </is>
      </c>
      <c r="F37" s="12" t="n">
        <v>0.02</v>
      </c>
      <c r="G37" s="12" t="inlineStr">
        <is>
          <t>simple</t>
        </is>
      </c>
      <c r="H37" s="12" t="inlineStr"/>
      <c r="I37" s="12" t="inlineStr"/>
      <c r="J37" s="12" t="inlineStr">
        <is>
          <t>Si</t>
        </is>
      </c>
    </row>
    <row r="38">
      <c r="A38" s="12" t="inlineStr">
        <is>
          <t>Porciones</t>
        </is>
      </c>
      <c r="B38" s="12" t="n">
        <v>37</v>
      </c>
      <c r="C38" s="12" t="inlineStr">
        <is>
          <t>Mermelada melocoton</t>
        </is>
      </c>
      <c r="D38" s="12" t="inlineStr">
        <is>
          <t>p162</t>
        </is>
      </c>
      <c r="E38" s="12" t="inlineStr">
        <is>
          <t>gr</t>
        </is>
      </c>
      <c r="F38" s="12" t="n">
        <v>0.02</v>
      </c>
      <c r="G38" s="12" t="inlineStr">
        <is>
          <t>simple</t>
        </is>
      </c>
      <c r="H38" s="12" t="inlineStr"/>
      <c r="I38" s="12" t="inlineStr"/>
      <c r="J38" s="12" t="inlineStr">
        <is>
          <t>Si</t>
        </is>
      </c>
    </row>
    <row r="39">
      <c r="A39" s="12" t="inlineStr">
        <is>
          <t>Porciones</t>
        </is>
      </c>
      <c r="B39" s="12" t="n">
        <v>38</v>
      </c>
      <c r="C39" s="12" t="inlineStr">
        <is>
          <t>Pate porcion</t>
        </is>
      </c>
      <c r="D39" s="12" t="inlineStr">
        <is>
          <t>p164</t>
        </is>
      </c>
      <c r="E39" s="12" t="inlineStr">
        <is>
          <t>gr</t>
        </is>
      </c>
      <c r="F39" s="12" t="n">
        <v>0.02</v>
      </c>
      <c r="G39" s="12" t="inlineStr">
        <is>
          <t>simple</t>
        </is>
      </c>
      <c r="H39" s="12" t="inlineStr"/>
      <c r="I39" s="12" t="inlineStr"/>
      <c r="J39" s="12" t="inlineStr">
        <is>
          <t>Si</t>
        </is>
      </c>
    </row>
    <row r="40">
      <c r="A40" s="12" t="inlineStr">
        <is>
          <t>Porciones</t>
        </is>
      </c>
      <c r="B40" s="12" t="n">
        <v>39</v>
      </c>
      <c r="C40" s="12" t="inlineStr">
        <is>
          <t>Sobrasada porcion</t>
        </is>
      </c>
      <c r="D40" s="12" t="inlineStr">
        <is>
          <t>p165</t>
        </is>
      </c>
      <c r="E40" s="12" t="inlineStr">
        <is>
          <t>gr</t>
        </is>
      </c>
      <c r="F40" s="12" t="n">
        <v>0.02</v>
      </c>
      <c r="G40" s="12" t="inlineStr">
        <is>
          <t>simple</t>
        </is>
      </c>
      <c r="H40" s="12" t="inlineStr"/>
      <c r="I40" s="12" t="inlineStr"/>
      <c r="J40" s="12" t="inlineStr">
        <is>
          <t>Si</t>
        </is>
      </c>
    </row>
    <row r="41">
      <c r="A41" s="12" t="inlineStr">
        <is>
          <t>Porciones</t>
        </is>
      </c>
      <c r="B41" s="12" t="n">
        <v>40</v>
      </c>
      <c r="C41" s="12" t="inlineStr">
        <is>
          <t>Tomate natural porcion</t>
        </is>
      </c>
      <c r="D41" s="12" t="inlineStr">
        <is>
          <t>p166</t>
        </is>
      </c>
      <c r="E41" s="12" t="inlineStr">
        <is>
          <t>gr</t>
        </is>
      </c>
      <c r="F41" s="12" t="n">
        <v>0.03</v>
      </c>
      <c r="G41" s="12" t="inlineStr">
        <is>
          <t>simple</t>
        </is>
      </c>
      <c r="H41" s="12" t="inlineStr"/>
      <c r="I41" s="12" t="inlineStr"/>
      <c r="J41" s="12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Fecha</t>
        </is>
      </c>
      <c r="B1" s="8" t="inlineStr">
        <is>
          <t>Seccion</t>
        </is>
      </c>
      <c r="C1" s="8" t="inlineStr">
        <is>
          <t>Concepto</t>
        </is>
      </c>
      <c r="D1" s="8" t="inlineStr">
        <is>
          <t>Cantidad</t>
        </is>
      </c>
      <c r="E1" s="8" t="inlineStr">
        <is>
          <t>Motivo</t>
        </is>
      </c>
      <c r="F1" s="8" t="inlineStr">
        <is>
          <t>Naranjas</t>
        </is>
      </c>
      <c r="G1" s="8" t="inlineStr">
        <is>
          <t>ZumoBote</t>
        </is>
      </c>
      <c r="H1" s="8" t="inlineStr">
        <is>
          <t>Coste</t>
        </is>
      </c>
      <c r="I1" s="8" t="inlineStr">
        <is>
          <t>Notas</t>
        </is>
      </c>
      <c r="J1" s="8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>
        <f>IF(E2="Consumo",IFERROR(D2*VLOOKUP(VLOOKUP(C2,ConfigBuffet!$C:$D,2,FALSE),Precios!$A:$C,3,FALSE)*VLOOKUP(C2,ConfigBuffet!$C:$F,4,FALSE),0)+IFERROR(F2*VLOOKUP("b06",Precios!$A:$C,3,FALSE),0)+IFERROR(G2*VLOOKUP("b28",Precios!$A:$C,3,FALSE),0),0)</f>
        <v/>
      </c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>
        <f>IF(E3="Consumo",IFERROR(D3*VLOOKUP(VLOOKUP(C3,ConfigBuffet!$C:$D,2,FALSE),Precios!$A:$C,3,FALSE)*VLOOKUP(C3,ConfigBuffet!$C:$F,4,FALSE),0)+IFERROR(F3*VLOOKUP("b06",Precios!$A:$C,3,FALSE),0)+IFERROR(G3*VLOOKUP("b28",Precios!$A:$C,3,FALSE),0),0)</f>
        <v/>
      </c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>
        <f>IF(E4="Consumo",IFERROR(D4*VLOOKUP(VLOOKUP(C4,ConfigBuffet!$C:$D,2,FALSE),Precios!$A:$C,3,FALSE)*VLOOKUP(C4,ConfigBuffet!$C:$F,4,FALSE),0)+IFERROR(F4*VLOOKUP("b06",Precios!$A:$C,3,FALSE),0)+IFERROR(G4*VLOOKUP("b28",Precios!$A:$C,3,FALSE),0),0)</f>
        <v/>
      </c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>
        <f>IF(E5="Consumo",IFERROR(D5*VLOOKUP(VLOOKUP(C5,ConfigBuffet!$C:$D,2,FALSE),Precios!$A:$C,3,FALSE)*VLOOKUP(C5,ConfigBuffet!$C:$F,4,FALSE),0)+IFERROR(F5*VLOOKUP("b06",Precios!$A:$C,3,FALSE),0)+IFERROR(G5*VLOOKUP("b28",Precios!$A:$C,3,FALSE),0),0)</f>
        <v/>
      </c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>
        <f>IF(E6="Consumo",IFERROR(D6*VLOOKUP(VLOOKUP(C6,ConfigBuffet!$C:$D,2,FALSE),Precios!$A:$C,3,FALSE)*VLOOKUP(C6,ConfigBuffet!$C:$F,4,FALSE),0)+IFERROR(F6*VLOOKUP("b06",Precios!$A:$C,3,FALSE),0)+IFERROR(G6*VLOOKUP("b28",Precios!$A:$C,3,FALSE),0),0)</f>
        <v/>
      </c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>
        <f>IF(E7="Consumo",IFERROR(D7*VLOOKUP(VLOOKUP(C7,ConfigBuffet!$C:$D,2,FALSE),Precios!$A:$C,3,FALSE)*VLOOKUP(C7,ConfigBuffet!$C:$F,4,FALSE),0)+IFERROR(F7*VLOOKUP("b06",Precios!$A:$C,3,FALSE),0)+IFERROR(G7*VLOOKUP("b28",Precios!$A:$C,3,FALSE),0),0)</f>
        <v/>
      </c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>
        <f>IF(E8="Consumo",IFERROR(D8*VLOOKUP(VLOOKUP(C8,ConfigBuffet!$C:$D,2,FALSE),Precios!$A:$C,3,FALSE)*VLOOKUP(C8,ConfigBuffet!$C:$F,4,FALSE),0)+IFERROR(F8*VLOOKUP("b06",Precios!$A:$C,3,FALSE),0)+IFERROR(G8*VLOOKUP("b28",Precios!$A:$C,3,FALSE),0),0)</f>
        <v/>
      </c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>
        <f>IF(E9="Consumo",IFERROR(D9*VLOOKUP(VLOOKUP(C9,ConfigBuffet!$C:$D,2,FALSE),Precios!$A:$C,3,FALSE)*VLOOKUP(C9,ConfigBuffet!$C:$F,4,FALSE),0)+IFERROR(F9*VLOOKUP("b06",Precios!$A:$C,3,FALSE),0)+IFERROR(G9*VLOOKUP("b28",Precios!$A:$C,3,FALSE),0),0)</f>
        <v/>
      </c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>
        <f>IF(E10="Consumo",IFERROR(D10*VLOOKUP(VLOOKUP(C10,ConfigBuffet!$C:$D,2,FALSE),Precios!$A:$C,3,FALSE)*VLOOKUP(C10,ConfigBuffet!$C:$F,4,FALSE),0)+IFERROR(F10*VLOOKUP("b06",Precios!$A:$C,3,FALSE),0)+IFERROR(G10*VLOOKUP("b28",Precios!$A:$C,3,FALSE),0),0)</f>
        <v/>
      </c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>
        <f>IF(E11="Consumo",IFERROR(D11*VLOOKUP(VLOOKUP(C11,ConfigBuffet!$C:$D,2,FALSE),Precios!$A:$C,3,FALSE)*VLOOKUP(C11,ConfigBuffet!$C:$F,4,FALSE),0)+IFERROR(F11*VLOOKUP("b06",Precios!$A:$C,3,FALSE),0)+IFERROR(G11*VLOOKUP("b28",Precios!$A:$C,3,FALSE),0),0)</f>
        <v/>
      </c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>
        <f>IF(E12="Consumo",IFERROR(D12*VLOOKUP(VLOOKUP(C12,ConfigBuffet!$C:$D,2,FALSE),Precios!$A:$C,3,FALSE)*VLOOKUP(C12,ConfigBuffet!$C:$F,4,FALSE),0)+IFERROR(F12*VLOOKUP("b06",Precios!$A:$C,3,FALSE),0)+IFERROR(G12*VLOOKUP("b28",Precios!$A:$C,3,FALSE),0),0)</f>
        <v/>
      </c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>
        <f>IF(E13="Consumo",IFERROR(D13*VLOOKUP(VLOOKUP(C13,ConfigBuffet!$C:$D,2,FALSE),Precios!$A:$C,3,FALSE)*VLOOKUP(C13,ConfigBuffet!$C:$F,4,FALSE),0)+IFERROR(F13*VLOOKUP("b06",Precios!$A:$C,3,FALSE),0)+IFERROR(G13*VLOOKUP("b28",Precios!$A:$C,3,FALSE),0),0)</f>
        <v/>
      </c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>
        <f>IF(E14="Consumo",IFERROR(D14*VLOOKUP(VLOOKUP(C14,ConfigBuffet!$C:$D,2,FALSE),Precios!$A:$C,3,FALSE)*VLOOKUP(C14,ConfigBuffet!$C:$F,4,FALSE),0)+IFERROR(F14*VLOOKUP("b06",Precios!$A:$C,3,FALSE),0)+IFERROR(G14*VLOOKUP("b28",Precios!$A:$C,3,FALSE),0),0)</f>
        <v/>
      </c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>
        <f>IF(E15="Consumo",IFERROR(D15*VLOOKUP(VLOOKUP(C15,ConfigBuffet!$C:$D,2,FALSE),Precios!$A:$C,3,FALSE)*VLOOKUP(C15,ConfigBuffet!$C:$F,4,FALSE),0)+IFERROR(F15*VLOOKUP("b06",Precios!$A:$C,3,FALSE),0)+IFERROR(G15*VLOOKUP("b28",Precios!$A:$C,3,FALSE),0),0)</f>
        <v/>
      </c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>
        <f>IF(E16="Consumo",IFERROR(D16*VLOOKUP(VLOOKUP(C16,ConfigBuffet!$C:$D,2,FALSE),Precios!$A:$C,3,FALSE)*VLOOKUP(C16,ConfigBuffet!$C:$F,4,FALSE),0)+IFERROR(F16*VLOOKUP("b06",Precios!$A:$C,3,FALSE),0)+IFERROR(G16*VLOOKUP("b28",Precios!$A:$C,3,FALSE),0),0)</f>
        <v/>
      </c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>
        <f>IF(E17="Consumo",IFERROR(D17*VLOOKUP(VLOOKUP(C17,ConfigBuffet!$C:$D,2,FALSE),Precios!$A:$C,3,FALSE)*VLOOKUP(C17,ConfigBuffet!$C:$F,4,FALSE),0)+IFERROR(F17*VLOOKUP("b06",Precios!$A:$C,3,FALSE),0)+IFERROR(G17*VLOOKUP("b28",Precios!$A:$C,3,FALSE),0),0)</f>
        <v/>
      </c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>
        <f>IF(E18="Consumo",IFERROR(D18*VLOOKUP(VLOOKUP(C18,ConfigBuffet!$C:$D,2,FALSE),Precios!$A:$C,3,FALSE)*VLOOKUP(C18,ConfigBuffet!$C:$F,4,FALSE),0)+IFERROR(F18*VLOOKUP("b06",Precios!$A:$C,3,FALSE),0)+IFERROR(G18*VLOOKUP("b28",Precios!$A:$C,3,FALSE),0),0)</f>
        <v/>
      </c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>
        <f>IF(E19="Consumo",IFERROR(D19*VLOOKUP(VLOOKUP(C19,ConfigBuffet!$C:$D,2,FALSE),Precios!$A:$C,3,FALSE)*VLOOKUP(C19,ConfigBuffet!$C:$F,4,FALSE),0)+IFERROR(F19*VLOOKUP("b06",Precios!$A:$C,3,FALSE),0)+IFERROR(G19*VLOOKUP("b28",Precios!$A:$C,3,FALSE),0),0)</f>
        <v/>
      </c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>
        <f>IF(E20="Consumo",IFERROR(D20*VLOOKUP(VLOOKUP(C20,ConfigBuffet!$C:$D,2,FALSE),Precios!$A:$C,3,FALSE)*VLOOKUP(C20,ConfigBuffet!$C:$F,4,FALSE),0)+IFERROR(F20*VLOOKUP("b06",Precios!$A:$C,3,FALSE),0)+IFERROR(G20*VLOOKUP("b28",Precios!$A:$C,3,FALSE),0),0)</f>
        <v/>
      </c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>
        <f>IF(E21="Consumo",IFERROR(D21*VLOOKUP(VLOOKUP(C21,ConfigBuffet!$C:$D,2,FALSE),Precios!$A:$C,3,FALSE)*VLOOKUP(C21,ConfigBuffet!$C:$F,4,FALSE),0)+IFERROR(F21*VLOOKUP("b06",Precios!$A:$C,3,FALSE),0)+IFERROR(G21*VLOOKUP("b28",Precios!$A:$C,3,FALSE),0),0)</f>
        <v/>
      </c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>
        <f>IF(E22="Consumo",IFERROR(D22*VLOOKUP(VLOOKUP(C22,ConfigBuffet!$C:$D,2,FALSE),Precios!$A:$C,3,FALSE)*VLOOKUP(C22,ConfigBuffet!$C:$F,4,FALSE),0)+IFERROR(F22*VLOOKUP("b06",Precios!$A:$C,3,FALSE),0)+IFERROR(G22*VLOOKUP("b28",Precios!$A:$C,3,FALSE),0),0)</f>
        <v/>
      </c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>
        <f>IF(E23="Consumo",IFERROR(D23*VLOOKUP(VLOOKUP(C23,ConfigBuffet!$C:$D,2,FALSE),Precios!$A:$C,3,FALSE)*VLOOKUP(C23,ConfigBuffet!$C:$F,4,FALSE),0)+IFERROR(F23*VLOOKUP("b06",Precios!$A:$C,3,FALSE),0)+IFERROR(G23*VLOOKUP("b28",Precios!$A:$C,3,FALSE),0),0)</f>
        <v/>
      </c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>
        <f>IF(E24="Consumo",IFERROR(D24*VLOOKUP(VLOOKUP(C24,ConfigBuffet!$C:$D,2,FALSE),Precios!$A:$C,3,FALSE)*VLOOKUP(C24,ConfigBuffet!$C:$F,4,FALSE),0)+IFERROR(F24*VLOOKUP("b06",Precios!$A:$C,3,FALSE),0)+IFERROR(G24*VLOOKUP("b28",Precios!$A:$C,3,FALSE),0),0)</f>
        <v/>
      </c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>
        <f>IF(E25="Consumo",IFERROR(D25*VLOOKUP(VLOOKUP(C25,ConfigBuffet!$C:$D,2,FALSE),Precios!$A:$C,3,FALSE)*VLOOKUP(C25,ConfigBuffet!$C:$F,4,FALSE),0)+IFERROR(F25*VLOOKUP("b06",Precios!$A:$C,3,FALSE),0)+IFERROR(G25*VLOOKUP("b28",Precios!$A:$C,3,FALSE),0),0)</f>
        <v/>
      </c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>
        <f>IF(E26="Consumo",IFERROR(D26*VLOOKUP(VLOOKUP(C26,ConfigBuffet!$C:$D,2,FALSE),Precios!$A:$C,3,FALSE)*VLOOKUP(C26,ConfigBuffet!$C:$F,4,FALSE),0)+IFERROR(F26*VLOOKUP("b06",Precios!$A:$C,3,FALSE),0)+IFERROR(G26*VLOOKUP("b28",Precios!$A:$C,3,FALSE),0),0)</f>
        <v/>
      </c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>
        <f>IF(E27="Consumo",IFERROR(D27*VLOOKUP(VLOOKUP(C27,ConfigBuffet!$C:$D,2,FALSE),Precios!$A:$C,3,FALSE)*VLOOKUP(C27,ConfigBuffet!$C:$F,4,FALSE),0)+IFERROR(F27*VLOOKUP("b06",Precios!$A:$C,3,FALSE),0)+IFERROR(G27*VLOOKUP("b28",Precios!$A:$C,3,FALSE),0),0)</f>
        <v/>
      </c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>
        <f>IF(E28="Consumo",IFERROR(D28*VLOOKUP(VLOOKUP(C28,ConfigBuffet!$C:$D,2,FALSE),Precios!$A:$C,3,FALSE)*VLOOKUP(C28,ConfigBuffet!$C:$F,4,FALSE),0)+IFERROR(F28*VLOOKUP("b06",Precios!$A:$C,3,FALSE),0)+IFERROR(G28*VLOOKUP("b28",Precios!$A:$C,3,FALSE),0),0)</f>
        <v/>
      </c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>
        <f>IF(E29="Consumo",IFERROR(D29*VLOOKUP(VLOOKUP(C29,ConfigBuffet!$C:$D,2,FALSE),Precios!$A:$C,3,FALSE)*VLOOKUP(C29,ConfigBuffet!$C:$F,4,FALSE),0)+IFERROR(F29*VLOOKUP("b06",Precios!$A:$C,3,FALSE),0)+IFERROR(G29*VLOOKUP("b28",Precios!$A:$C,3,FALSE),0),0)</f>
        <v/>
      </c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>
        <f>IF(E30="Consumo",IFERROR(D30*VLOOKUP(VLOOKUP(C30,ConfigBuffet!$C:$D,2,FALSE),Precios!$A:$C,3,FALSE)*VLOOKUP(C30,ConfigBuffet!$C:$F,4,FALSE),0)+IFERROR(F30*VLOOKUP("b06",Precios!$A:$C,3,FALSE),0)+IFERROR(G30*VLOOKUP("b28",Precios!$A:$C,3,FALSE),0),0)</f>
        <v/>
      </c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>
        <f>IF(E31="Consumo",IFERROR(D31*VLOOKUP(VLOOKUP(C31,ConfigBuffet!$C:$D,2,FALSE),Precios!$A:$C,3,FALSE)*VLOOKUP(C31,ConfigBuffet!$C:$F,4,FALSE),0)+IFERROR(F31*VLOOKUP("b06",Precios!$A:$C,3,FALSE),0)+IFERROR(G31*VLOOKUP("b28",Precios!$A:$C,3,FALSE),0),0)</f>
        <v/>
      </c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>
        <f>IF(E32="Consumo",IFERROR(D32*VLOOKUP(VLOOKUP(C32,ConfigBuffet!$C:$D,2,FALSE),Precios!$A:$C,3,FALSE)*VLOOKUP(C32,ConfigBuffet!$C:$F,4,FALSE),0)+IFERROR(F32*VLOOKUP("b06",Precios!$A:$C,3,FALSE),0)+IFERROR(G32*VLOOKUP("b28",Precios!$A:$C,3,FALSE),0),0)</f>
        <v/>
      </c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>
        <f>IF(E33="Consumo",IFERROR(D33*VLOOKUP(VLOOKUP(C33,ConfigBuffet!$C:$D,2,FALSE),Precios!$A:$C,3,FALSE)*VLOOKUP(C33,ConfigBuffet!$C:$F,4,FALSE),0)+IFERROR(F33*VLOOKUP("b06",Precios!$A:$C,3,FALSE),0)+IFERROR(G33*VLOOKUP("b28",Precios!$A:$C,3,FALSE),0),0)</f>
        <v/>
      </c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>
        <f>IF(E34="Consumo",IFERROR(D34*VLOOKUP(VLOOKUP(C34,ConfigBuffet!$C:$D,2,FALSE),Precios!$A:$C,3,FALSE)*VLOOKUP(C34,ConfigBuffet!$C:$F,4,FALSE),0)+IFERROR(F34*VLOOKUP("b06",Precios!$A:$C,3,FALSE),0)+IFERROR(G34*VLOOKUP("b28",Precios!$A:$C,3,FALSE),0),0)</f>
        <v/>
      </c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>
        <f>IF(E35="Consumo",IFERROR(D35*VLOOKUP(VLOOKUP(C35,ConfigBuffet!$C:$D,2,FALSE),Precios!$A:$C,3,FALSE)*VLOOKUP(C35,ConfigBuffet!$C:$F,4,FALSE),0)+IFERROR(F35*VLOOKUP("b06",Precios!$A:$C,3,FALSE),0)+IFERROR(G35*VLOOKUP("b28",Precios!$A:$C,3,FALSE),0),0)</f>
        <v/>
      </c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>
        <f>IF(E36="Consumo",IFERROR(D36*VLOOKUP(VLOOKUP(C36,ConfigBuffet!$C:$D,2,FALSE),Precios!$A:$C,3,FALSE)*VLOOKUP(C36,ConfigBuffet!$C:$F,4,FALSE),0)+IFERROR(F36*VLOOKUP("b06",Precios!$A:$C,3,FALSE),0)+IFERROR(G36*VLOOKUP("b28",Precios!$A:$C,3,FALSE),0),0)</f>
        <v/>
      </c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>
        <f>IF(E37="Consumo",IFERROR(D37*VLOOKUP(VLOOKUP(C37,ConfigBuffet!$C:$D,2,FALSE),Precios!$A:$C,3,FALSE)*VLOOKUP(C37,ConfigBuffet!$C:$F,4,FALSE),0)+IFERROR(F37*VLOOKUP("b06",Precios!$A:$C,3,FALSE),0)+IFERROR(G37*VLOOKUP("b28",Precios!$A:$C,3,FALSE),0),0)</f>
        <v/>
      </c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>
        <f>IF(E38="Consumo",IFERROR(D38*VLOOKUP(VLOOKUP(C38,ConfigBuffet!$C:$D,2,FALSE),Precios!$A:$C,3,FALSE)*VLOOKUP(C38,ConfigBuffet!$C:$F,4,FALSE),0)+IFERROR(F38*VLOOKUP("b06",Precios!$A:$C,3,FALSE),0)+IFERROR(G38*VLOOKUP("b28",Precios!$A:$C,3,FALSE),0),0)</f>
        <v/>
      </c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>
        <f>IF(E39="Consumo",IFERROR(D39*VLOOKUP(VLOOKUP(C39,ConfigBuffet!$C:$D,2,FALSE),Precios!$A:$C,3,FALSE)*VLOOKUP(C39,ConfigBuffet!$C:$F,4,FALSE),0)+IFERROR(F39*VLOOKUP("b06",Precios!$A:$C,3,FALSE),0)+IFERROR(G39*VLOOKUP("b28",Precios!$A:$C,3,FALSE),0),0)</f>
        <v/>
      </c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>
        <f>IF(E40="Consumo",IFERROR(D40*VLOOKUP(VLOOKUP(C40,ConfigBuffet!$C:$D,2,FALSE),Precios!$A:$C,3,FALSE)*VLOOKUP(C40,ConfigBuffet!$C:$F,4,FALSE),0)+IFERROR(F40*VLOOKUP("b06",Precios!$A:$C,3,FALSE),0)+IFERROR(G40*VLOOKUP("b28",Precios!$A:$C,3,FALSE),0),0)</f>
        <v/>
      </c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>
        <f>IF(E41="Consumo",IFERROR(D41*VLOOKUP(VLOOKUP(C41,ConfigBuffet!$C:$D,2,FALSE),Precios!$A:$C,3,FALSE)*VLOOKUP(C41,ConfigBuffet!$C:$F,4,FALSE),0)+IFERROR(F41*VLOOKUP("b06",Precios!$A:$C,3,FALSE),0)+IFERROR(G41*VLOOKUP("b28",Precios!$A:$C,3,FALSE),0),0)</f>
        <v/>
      </c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>
        <f>IF(E42="Consumo",IFERROR(D42*VLOOKUP(VLOOKUP(C42,ConfigBuffet!$C:$D,2,FALSE),Precios!$A:$C,3,FALSE)*VLOOKUP(C42,ConfigBuffet!$C:$F,4,FALSE),0)+IFERROR(F42*VLOOKUP("b06",Precios!$A:$C,3,FALSE),0)+IFERROR(G42*VLOOKUP("b28",Precios!$A:$C,3,FALSE),0),0)</f>
        <v/>
      </c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>
        <f>IF(E43="Consumo",IFERROR(D43*VLOOKUP(VLOOKUP(C43,ConfigBuffet!$C:$D,2,FALSE),Precios!$A:$C,3,FALSE)*VLOOKUP(C43,ConfigBuffet!$C:$F,4,FALSE),0)+IFERROR(F43*VLOOKUP("b06",Precios!$A:$C,3,FALSE),0)+IFERROR(G43*VLOOKUP("b28",Precios!$A:$C,3,FALSE),0),0)</f>
        <v/>
      </c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>
        <f>IF(E44="Consumo",IFERROR(D44*VLOOKUP(VLOOKUP(C44,ConfigBuffet!$C:$D,2,FALSE),Precios!$A:$C,3,FALSE)*VLOOKUP(C44,ConfigBuffet!$C:$F,4,FALSE),0)+IFERROR(F44*VLOOKUP("b06",Precios!$A:$C,3,FALSE),0)+IFERROR(G44*VLOOKUP("b28",Precios!$A:$C,3,FALSE),0),0)</f>
        <v/>
      </c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>
        <f>IF(E45="Consumo",IFERROR(D45*VLOOKUP(VLOOKUP(C45,ConfigBuffet!$C:$D,2,FALSE),Precios!$A:$C,3,FALSE)*VLOOKUP(C45,ConfigBuffet!$C:$F,4,FALSE),0)+IFERROR(F45*VLOOKUP("b06",Precios!$A:$C,3,FALSE),0)+IFERROR(G45*VLOOKUP("b28",Precios!$A:$C,3,FALSE),0),0)</f>
        <v/>
      </c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>
        <f>IF(E46="Consumo",IFERROR(D46*VLOOKUP(VLOOKUP(C46,ConfigBuffet!$C:$D,2,FALSE),Precios!$A:$C,3,FALSE)*VLOOKUP(C46,ConfigBuffet!$C:$F,4,FALSE),0)+IFERROR(F46*VLOOKUP("b06",Precios!$A:$C,3,FALSE),0)+IFERROR(G46*VLOOKUP("b28",Precios!$A:$C,3,FALSE),0),0)</f>
        <v/>
      </c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>
        <f>IF(E47="Consumo",IFERROR(D47*VLOOKUP(VLOOKUP(C47,ConfigBuffet!$C:$D,2,FALSE),Precios!$A:$C,3,FALSE)*VLOOKUP(C47,ConfigBuffet!$C:$F,4,FALSE),0)+IFERROR(F47*VLOOKUP("b06",Precios!$A:$C,3,FALSE),0)+IFERROR(G47*VLOOKUP("b28",Precios!$A:$C,3,FALSE),0),0)</f>
        <v/>
      </c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>
        <f>IF(E48="Consumo",IFERROR(D48*VLOOKUP(VLOOKUP(C48,ConfigBuffet!$C:$D,2,FALSE),Precios!$A:$C,3,FALSE)*VLOOKUP(C48,ConfigBuffet!$C:$F,4,FALSE),0)+IFERROR(F48*VLOOKUP("b06",Precios!$A:$C,3,FALSE),0)+IFERROR(G48*VLOOKUP("b28",Precios!$A:$C,3,FALSE),0),0)</f>
        <v/>
      </c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>
        <f>IF(E49="Consumo",IFERROR(D49*VLOOKUP(VLOOKUP(C49,ConfigBuffet!$C:$D,2,FALSE),Precios!$A:$C,3,FALSE)*VLOOKUP(C49,ConfigBuffet!$C:$F,4,FALSE),0)+IFERROR(F49*VLOOKUP("b06",Precios!$A:$C,3,FALSE),0)+IFERROR(G49*VLOOKUP("b28",Precios!$A:$C,3,FALSE),0),0)</f>
        <v/>
      </c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>
        <f>IF(E50="Consumo",IFERROR(D50*VLOOKUP(VLOOKUP(C50,ConfigBuffet!$C:$D,2,FALSE),Precios!$A:$C,3,FALSE)*VLOOKUP(C50,ConfigBuffet!$C:$F,4,FALSE),0)+IFERROR(F50*VLOOKUP("b06",Precios!$A:$C,3,FALSE),0)+IFERROR(G50*VLOOKUP("b28",Precios!$A:$C,3,FALSE),0),0)</f>
        <v/>
      </c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>
        <f>IF(E51="Consumo",IFERROR(D51*VLOOKUP(VLOOKUP(C51,ConfigBuffet!$C:$D,2,FALSE),Precios!$A:$C,3,FALSE)*VLOOKUP(C51,ConfigBuffet!$C:$F,4,FALSE),0)+IFERROR(F51*VLOOKUP("b06",Precios!$A:$C,3,FALSE),0)+IFERROR(G51*VLOOKUP("b28",Precios!$A:$C,3,FALSE),0),0)</f>
        <v/>
      </c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>
        <f>IF(E52="Consumo",IFERROR(D52*VLOOKUP(VLOOKUP(C52,ConfigBuffet!$C:$D,2,FALSE),Precios!$A:$C,3,FALSE)*VLOOKUP(C52,ConfigBuffet!$C:$F,4,FALSE),0)+IFERROR(F52*VLOOKUP("b06",Precios!$A:$C,3,FALSE),0)+IFERROR(G52*VLOOKUP("b28",Precios!$A:$C,3,FALSE),0),0)</f>
        <v/>
      </c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>
        <f>IF(E53="Consumo",IFERROR(D53*VLOOKUP(VLOOKUP(C53,ConfigBuffet!$C:$D,2,FALSE),Precios!$A:$C,3,FALSE)*VLOOKUP(C53,ConfigBuffet!$C:$F,4,FALSE),0)+IFERROR(F53*VLOOKUP("b06",Precios!$A:$C,3,FALSE),0)+IFERROR(G53*VLOOKUP("b28",Precios!$A:$C,3,FALSE),0),0)</f>
        <v/>
      </c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>
        <f>IF(E54="Consumo",IFERROR(D54*VLOOKUP(VLOOKUP(C54,ConfigBuffet!$C:$D,2,FALSE),Precios!$A:$C,3,FALSE)*VLOOKUP(C54,ConfigBuffet!$C:$F,4,FALSE),0)+IFERROR(F54*VLOOKUP("b06",Precios!$A:$C,3,FALSE),0)+IFERROR(G54*VLOOKUP("b28",Precios!$A:$C,3,FALSE),0),0)</f>
        <v/>
      </c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>
        <f>IF(E55="Consumo",IFERROR(D55*VLOOKUP(VLOOKUP(C55,ConfigBuffet!$C:$D,2,FALSE),Precios!$A:$C,3,FALSE)*VLOOKUP(C55,ConfigBuffet!$C:$F,4,FALSE),0)+IFERROR(F55*VLOOKUP("b06",Precios!$A:$C,3,FALSE),0)+IFERROR(G55*VLOOKUP("b28",Precios!$A:$C,3,FALSE),0),0)</f>
        <v/>
      </c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>
        <f>IF(E56="Consumo",IFERROR(D56*VLOOKUP(VLOOKUP(C56,ConfigBuffet!$C:$D,2,FALSE),Precios!$A:$C,3,FALSE)*VLOOKUP(C56,ConfigBuffet!$C:$F,4,FALSE),0)+IFERROR(F56*VLOOKUP("b06",Precios!$A:$C,3,FALSE),0)+IFERROR(G56*VLOOKUP("b28",Precios!$A:$C,3,FALSE),0),0)</f>
        <v/>
      </c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>
        <f>IF(E57="Consumo",IFERROR(D57*VLOOKUP(VLOOKUP(C57,ConfigBuffet!$C:$D,2,FALSE),Precios!$A:$C,3,FALSE)*VLOOKUP(C57,ConfigBuffet!$C:$F,4,FALSE),0)+IFERROR(F57*VLOOKUP("b06",Precios!$A:$C,3,FALSE),0)+IFERROR(G57*VLOOKUP("b28",Precios!$A:$C,3,FALSE),0),0)</f>
        <v/>
      </c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>
        <f>IF(E58="Consumo",IFERROR(D58*VLOOKUP(VLOOKUP(C58,ConfigBuffet!$C:$D,2,FALSE),Precios!$A:$C,3,FALSE)*VLOOKUP(C58,ConfigBuffet!$C:$F,4,FALSE),0)+IFERROR(F58*VLOOKUP("b06",Precios!$A:$C,3,FALSE),0)+IFERROR(G58*VLOOKUP("b28",Precios!$A:$C,3,FALSE),0),0)</f>
        <v/>
      </c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>
        <f>IF(E59="Consumo",IFERROR(D59*VLOOKUP(VLOOKUP(C59,ConfigBuffet!$C:$D,2,FALSE),Precios!$A:$C,3,FALSE)*VLOOKUP(C59,ConfigBuffet!$C:$F,4,FALSE),0)+IFERROR(F59*VLOOKUP("b06",Precios!$A:$C,3,FALSE),0)+IFERROR(G59*VLOOKUP("b28",Precios!$A:$C,3,FALSE),0),0)</f>
        <v/>
      </c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>
        <f>IF(E60="Consumo",IFERROR(D60*VLOOKUP(VLOOKUP(C60,ConfigBuffet!$C:$D,2,FALSE),Precios!$A:$C,3,FALSE)*VLOOKUP(C60,ConfigBuffet!$C:$F,4,FALSE),0)+IFERROR(F60*VLOOKUP("b06",Precios!$A:$C,3,FALSE),0)+IFERROR(G60*VLOOKUP("b28",Precios!$A:$C,3,FALSE),0),0)</f>
        <v/>
      </c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>
        <f>IF(E61="Consumo",IFERROR(D61*VLOOKUP(VLOOKUP(C61,ConfigBuffet!$C:$D,2,FALSE),Precios!$A:$C,3,FALSE)*VLOOKUP(C61,ConfigBuffet!$C:$F,4,FALSE),0)+IFERROR(F61*VLOOKUP("b06",Precios!$A:$C,3,FALSE),0)+IFERROR(G61*VLOOKUP("b28",Precios!$A:$C,3,FALSE),0),0)</f>
        <v/>
      </c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>
        <f>IF(E62="Consumo",IFERROR(D62*VLOOKUP(VLOOKUP(C62,ConfigBuffet!$C:$D,2,FALSE),Precios!$A:$C,3,FALSE)*VLOOKUP(C62,ConfigBuffet!$C:$F,4,FALSE),0)+IFERROR(F62*VLOOKUP("b06",Precios!$A:$C,3,FALSE),0)+IFERROR(G62*VLOOKUP("b28",Precios!$A:$C,3,FALSE),0),0)</f>
        <v/>
      </c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>
        <f>IF(E63="Consumo",IFERROR(D63*VLOOKUP(VLOOKUP(C63,ConfigBuffet!$C:$D,2,FALSE),Precios!$A:$C,3,FALSE)*VLOOKUP(C63,ConfigBuffet!$C:$F,4,FALSE),0)+IFERROR(F63*VLOOKUP("b06",Precios!$A:$C,3,FALSE),0)+IFERROR(G63*VLOOKUP("b28",Precios!$A:$C,3,FALSE),0),0)</f>
        <v/>
      </c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>
        <f>IF(E64="Consumo",IFERROR(D64*VLOOKUP(VLOOKUP(C64,ConfigBuffet!$C:$D,2,FALSE),Precios!$A:$C,3,FALSE)*VLOOKUP(C64,ConfigBuffet!$C:$F,4,FALSE),0)+IFERROR(F64*VLOOKUP("b06",Precios!$A:$C,3,FALSE),0)+IFERROR(G64*VLOOKUP("b28",Precios!$A:$C,3,FALSE),0),0)</f>
        <v/>
      </c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>
        <f>IF(E65="Consumo",IFERROR(D65*VLOOKUP(VLOOKUP(C65,ConfigBuffet!$C:$D,2,FALSE),Precios!$A:$C,3,FALSE)*VLOOKUP(C65,ConfigBuffet!$C:$F,4,FALSE),0)+IFERROR(F65*VLOOKUP("b06",Precios!$A:$C,3,FALSE),0)+IFERROR(G65*VLOOKUP("b28",Precios!$A:$C,3,FALSE),0),0)</f>
        <v/>
      </c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>
        <f>IF(E66="Consumo",IFERROR(D66*VLOOKUP(VLOOKUP(C66,ConfigBuffet!$C:$D,2,FALSE),Precios!$A:$C,3,FALSE)*VLOOKUP(C66,ConfigBuffet!$C:$F,4,FALSE),0)+IFERROR(F66*VLOOKUP("b06",Precios!$A:$C,3,FALSE),0)+IFERROR(G66*VLOOKUP("b28",Precios!$A:$C,3,FALSE),0),0)</f>
        <v/>
      </c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>
        <f>IF(E67="Consumo",IFERROR(D67*VLOOKUP(VLOOKUP(C67,ConfigBuffet!$C:$D,2,FALSE),Precios!$A:$C,3,FALSE)*VLOOKUP(C67,ConfigBuffet!$C:$F,4,FALSE),0)+IFERROR(F67*VLOOKUP("b06",Precios!$A:$C,3,FALSE),0)+IFERROR(G67*VLOOKUP("b28",Precios!$A:$C,3,FALSE),0),0)</f>
        <v/>
      </c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>
        <f>IF(E68="Consumo",IFERROR(D68*VLOOKUP(VLOOKUP(C68,ConfigBuffet!$C:$D,2,FALSE),Precios!$A:$C,3,FALSE)*VLOOKUP(C68,ConfigBuffet!$C:$F,4,FALSE),0)+IFERROR(F68*VLOOKUP("b06",Precios!$A:$C,3,FALSE),0)+IFERROR(G68*VLOOKUP("b28",Precios!$A:$C,3,FALSE),0),0)</f>
        <v/>
      </c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>
        <f>IF(E69="Consumo",IFERROR(D69*VLOOKUP(VLOOKUP(C69,ConfigBuffet!$C:$D,2,FALSE),Precios!$A:$C,3,FALSE)*VLOOKUP(C69,ConfigBuffet!$C:$F,4,FALSE),0)+IFERROR(F69*VLOOKUP("b06",Precios!$A:$C,3,FALSE),0)+IFERROR(G69*VLOOKUP("b28",Precios!$A:$C,3,FALSE),0),0)</f>
        <v/>
      </c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>
        <f>IF(E70="Consumo",IFERROR(D70*VLOOKUP(VLOOKUP(C70,ConfigBuffet!$C:$D,2,FALSE),Precios!$A:$C,3,FALSE)*VLOOKUP(C70,ConfigBuffet!$C:$F,4,FALSE),0)+IFERROR(F70*VLOOKUP("b06",Precios!$A:$C,3,FALSE),0)+IFERROR(G70*VLOOKUP("b28",Precios!$A:$C,3,FALSE),0),0)</f>
        <v/>
      </c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>
        <f>IF(E71="Consumo",IFERROR(D71*VLOOKUP(VLOOKUP(C71,ConfigBuffet!$C:$D,2,FALSE),Precios!$A:$C,3,FALSE)*VLOOKUP(C71,ConfigBuffet!$C:$F,4,FALSE),0)+IFERROR(F71*VLOOKUP("b06",Precios!$A:$C,3,FALSE),0)+IFERROR(G71*VLOOKUP("b28",Precios!$A:$C,3,FALSE),0),0)</f>
        <v/>
      </c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>
        <f>IF(E72="Consumo",IFERROR(D72*VLOOKUP(VLOOKUP(C72,ConfigBuffet!$C:$D,2,FALSE),Precios!$A:$C,3,FALSE)*VLOOKUP(C72,ConfigBuffet!$C:$F,4,FALSE),0)+IFERROR(F72*VLOOKUP("b06",Precios!$A:$C,3,FALSE),0)+IFERROR(G72*VLOOKUP("b28",Precios!$A:$C,3,FALSE),0),0)</f>
        <v/>
      </c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>
        <f>IF(E73="Consumo",IFERROR(D73*VLOOKUP(VLOOKUP(C73,ConfigBuffet!$C:$D,2,FALSE),Precios!$A:$C,3,FALSE)*VLOOKUP(C73,ConfigBuffet!$C:$F,4,FALSE),0)+IFERROR(F73*VLOOKUP("b06",Precios!$A:$C,3,FALSE),0)+IFERROR(G73*VLOOKUP("b28",Precios!$A:$C,3,FALSE),0),0)</f>
        <v/>
      </c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>
        <f>IF(E74="Consumo",IFERROR(D74*VLOOKUP(VLOOKUP(C74,ConfigBuffet!$C:$D,2,FALSE),Precios!$A:$C,3,FALSE)*VLOOKUP(C74,ConfigBuffet!$C:$F,4,FALSE),0)+IFERROR(F74*VLOOKUP("b06",Precios!$A:$C,3,FALSE),0)+IFERROR(G74*VLOOKUP("b28",Precios!$A:$C,3,FALSE),0),0)</f>
        <v/>
      </c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>
        <f>IF(E75="Consumo",IFERROR(D75*VLOOKUP(VLOOKUP(C75,ConfigBuffet!$C:$D,2,FALSE),Precios!$A:$C,3,FALSE)*VLOOKUP(C75,ConfigBuffet!$C:$F,4,FALSE),0)+IFERROR(F75*VLOOKUP("b06",Precios!$A:$C,3,FALSE),0)+IFERROR(G75*VLOOKUP("b28",Precios!$A:$C,3,FALSE),0),0)</f>
        <v/>
      </c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>
        <f>IF(E76="Consumo",IFERROR(D76*VLOOKUP(VLOOKUP(C76,ConfigBuffet!$C:$D,2,FALSE),Precios!$A:$C,3,FALSE)*VLOOKUP(C76,ConfigBuffet!$C:$F,4,FALSE),0)+IFERROR(F76*VLOOKUP("b06",Precios!$A:$C,3,FALSE),0)+IFERROR(G76*VLOOKUP("b28",Precios!$A:$C,3,FALSE),0),0)</f>
        <v/>
      </c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>
        <f>IF(E77="Consumo",IFERROR(D77*VLOOKUP(VLOOKUP(C77,ConfigBuffet!$C:$D,2,FALSE),Precios!$A:$C,3,FALSE)*VLOOKUP(C77,ConfigBuffet!$C:$F,4,FALSE),0)+IFERROR(F77*VLOOKUP("b06",Precios!$A:$C,3,FALSE),0)+IFERROR(G77*VLOOKUP("b28",Precios!$A:$C,3,FALSE),0),0)</f>
        <v/>
      </c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>
        <f>IF(E78="Consumo",IFERROR(D78*VLOOKUP(VLOOKUP(C78,ConfigBuffet!$C:$D,2,FALSE),Precios!$A:$C,3,FALSE)*VLOOKUP(C78,ConfigBuffet!$C:$F,4,FALSE),0)+IFERROR(F78*VLOOKUP("b06",Precios!$A:$C,3,FALSE),0)+IFERROR(G78*VLOOKUP("b28",Precios!$A:$C,3,FALSE),0),0)</f>
        <v/>
      </c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>
        <f>IF(E79="Consumo",IFERROR(D79*VLOOKUP(VLOOKUP(C79,ConfigBuffet!$C:$D,2,FALSE),Precios!$A:$C,3,FALSE)*VLOOKUP(C79,ConfigBuffet!$C:$F,4,FALSE),0)+IFERROR(F79*VLOOKUP("b06",Precios!$A:$C,3,FALSE),0)+IFERROR(G79*VLOOKUP("b28",Precios!$A:$C,3,FALSE),0),0)</f>
        <v/>
      </c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>
        <f>IF(E80="Consumo",IFERROR(D80*VLOOKUP(VLOOKUP(C80,ConfigBuffet!$C:$D,2,FALSE),Precios!$A:$C,3,FALSE)*VLOOKUP(C80,ConfigBuffet!$C:$F,4,FALSE),0)+IFERROR(F80*VLOOKUP("b06",Precios!$A:$C,3,FALSE),0)+IFERROR(G80*VLOOKUP("b28",Precios!$A:$C,3,FALSE),0),0)</f>
        <v/>
      </c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>
        <f>IF(E81="Consumo",IFERROR(D81*VLOOKUP(VLOOKUP(C81,ConfigBuffet!$C:$D,2,FALSE),Precios!$A:$C,3,FALSE)*VLOOKUP(C81,ConfigBuffet!$C:$F,4,FALSE),0)+IFERROR(F81*VLOOKUP("b06",Precios!$A:$C,3,FALSE),0)+IFERROR(G81*VLOOKUP("b28",Precios!$A:$C,3,FALSE),0),0)</f>
        <v/>
      </c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>
        <f>IF(E82="Consumo",IFERROR(D82*VLOOKUP(VLOOKUP(C82,ConfigBuffet!$C:$D,2,FALSE),Precios!$A:$C,3,FALSE)*VLOOKUP(C82,ConfigBuffet!$C:$F,4,FALSE),0)+IFERROR(F82*VLOOKUP("b06",Precios!$A:$C,3,FALSE),0)+IFERROR(G82*VLOOKUP("b28",Precios!$A:$C,3,FALSE),0),0)</f>
        <v/>
      </c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>
        <f>IF(E83="Consumo",IFERROR(D83*VLOOKUP(VLOOKUP(C83,ConfigBuffet!$C:$D,2,FALSE),Precios!$A:$C,3,FALSE)*VLOOKUP(C83,ConfigBuffet!$C:$F,4,FALSE),0)+IFERROR(F83*VLOOKUP("b06",Precios!$A:$C,3,FALSE),0)+IFERROR(G83*VLOOKUP("b28",Precios!$A:$C,3,FALSE),0),0)</f>
        <v/>
      </c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>
        <f>IF(E84="Consumo",IFERROR(D84*VLOOKUP(VLOOKUP(C84,ConfigBuffet!$C:$D,2,FALSE),Precios!$A:$C,3,FALSE)*VLOOKUP(C84,ConfigBuffet!$C:$F,4,FALSE),0)+IFERROR(F84*VLOOKUP("b06",Precios!$A:$C,3,FALSE),0)+IFERROR(G84*VLOOKUP("b28",Precios!$A:$C,3,FALSE),0),0)</f>
        <v/>
      </c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>
        <f>IF(E85="Consumo",IFERROR(D85*VLOOKUP(VLOOKUP(C85,ConfigBuffet!$C:$D,2,FALSE),Precios!$A:$C,3,FALSE)*VLOOKUP(C85,ConfigBuffet!$C:$F,4,FALSE),0)+IFERROR(F85*VLOOKUP("b06",Precios!$A:$C,3,FALSE),0)+IFERROR(G85*VLOOKUP("b28",Precios!$A:$C,3,FALSE),0),0)</f>
        <v/>
      </c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>
        <f>IF(E86="Consumo",IFERROR(D86*VLOOKUP(VLOOKUP(C86,ConfigBuffet!$C:$D,2,FALSE),Precios!$A:$C,3,FALSE)*VLOOKUP(C86,ConfigBuffet!$C:$F,4,FALSE),0)+IFERROR(F86*VLOOKUP("b06",Precios!$A:$C,3,FALSE),0)+IFERROR(G86*VLOOKUP("b28",Precios!$A:$C,3,FALSE),0),0)</f>
        <v/>
      </c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>
        <f>IF(E87="Consumo",IFERROR(D87*VLOOKUP(VLOOKUP(C87,ConfigBuffet!$C:$D,2,FALSE),Precios!$A:$C,3,FALSE)*VLOOKUP(C87,ConfigBuffet!$C:$F,4,FALSE),0)+IFERROR(F87*VLOOKUP("b06",Precios!$A:$C,3,FALSE),0)+IFERROR(G87*VLOOKUP("b28",Precios!$A:$C,3,FALSE),0),0)</f>
        <v/>
      </c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>
        <f>IF(E88="Consumo",IFERROR(D88*VLOOKUP(VLOOKUP(C88,ConfigBuffet!$C:$D,2,FALSE),Precios!$A:$C,3,FALSE)*VLOOKUP(C88,ConfigBuffet!$C:$F,4,FALSE),0)+IFERROR(F88*VLOOKUP("b06",Precios!$A:$C,3,FALSE),0)+IFERROR(G88*VLOOKUP("b28",Precios!$A:$C,3,FALSE),0),0)</f>
        <v/>
      </c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>
        <f>IF(E89="Consumo",IFERROR(D89*VLOOKUP(VLOOKUP(C89,ConfigBuffet!$C:$D,2,FALSE),Precios!$A:$C,3,FALSE)*VLOOKUP(C89,ConfigBuffet!$C:$F,4,FALSE),0)+IFERROR(F89*VLOOKUP("b06",Precios!$A:$C,3,FALSE),0)+IFERROR(G89*VLOOKUP("b28",Precios!$A:$C,3,FALSE),0),0)</f>
        <v/>
      </c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>
        <f>IF(E90="Consumo",IFERROR(D90*VLOOKUP(VLOOKUP(C90,ConfigBuffet!$C:$D,2,FALSE),Precios!$A:$C,3,FALSE)*VLOOKUP(C90,ConfigBuffet!$C:$F,4,FALSE),0)+IFERROR(F90*VLOOKUP("b06",Precios!$A:$C,3,FALSE),0)+IFERROR(G90*VLOOKUP("b28",Precios!$A:$C,3,FALSE),0),0)</f>
        <v/>
      </c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>
        <f>IF(E91="Consumo",IFERROR(D91*VLOOKUP(VLOOKUP(C91,ConfigBuffet!$C:$D,2,FALSE),Precios!$A:$C,3,FALSE)*VLOOKUP(C91,ConfigBuffet!$C:$F,4,FALSE),0)+IFERROR(F91*VLOOKUP("b06",Precios!$A:$C,3,FALSE),0)+IFERROR(G91*VLOOKUP("b28",Precios!$A:$C,3,FALSE),0),0)</f>
        <v/>
      </c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>
        <f>IF(E92="Consumo",IFERROR(D92*VLOOKUP(VLOOKUP(C92,ConfigBuffet!$C:$D,2,FALSE),Precios!$A:$C,3,FALSE)*VLOOKUP(C92,ConfigBuffet!$C:$F,4,FALSE),0)+IFERROR(F92*VLOOKUP("b06",Precios!$A:$C,3,FALSE),0)+IFERROR(G92*VLOOKUP("b28",Precios!$A:$C,3,FALSE),0),0)</f>
        <v/>
      </c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>
        <f>IF(E93="Consumo",IFERROR(D93*VLOOKUP(VLOOKUP(C93,ConfigBuffet!$C:$D,2,FALSE),Precios!$A:$C,3,FALSE)*VLOOKUP(C93,ConfigBuffet!$C:$F,4,FALSE),0)+IFERROR(F93*VLOOKUP("b06",Precios!$A:$C,3,FALSE),0)+IFERROR(G93*VLOOKUP("b28",Precios!$A:$C,3,FALSE),0),0)</f>
        <v/>
      </c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>
        <f>IF(E94="Consumo",IFERROR(D94*VLOOKUP(VLOOKUP(C94,ConfigBuffet!$C:$D,2,FALSE),Precios!$A:$C,3,FALSE)*VLOOKUP(C94,ConfigBuffet!$C:$F,4,FALSE),0)+IFERROR(F94*VLOOKUP("b06",Precios!$A:$C,3,FALSE),0)+IFERROR(G94*VLOOKUP("b28",Precios!$A:$C,3,FALSE),0),0)</f>
        <v/>
      </c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>
        <f>IF(E95="Consumo",IFERROR(D95*VLOOKUP(VLOOKUP(C95,ConfigBuffet!$C:$D,2,FALSE),Precios!$A:$C,3,FALSE)*VLOOKUP(C95,ConfigBuffet!$C:$F,4,FALSE),0)+IFERROR(F95*VLOOKUP("b06",Precios!$A:$C,3,FALSE),0)+IFERROR(G95*VLOOKUP("b28",Precios!$A:$C,3,FALSE),0),0)</f>
        <v/>
      </c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>
        <f>IF(E96="Consumo",IFERROR(D96*VLOOKUP(VLOOKUP(C96,ConfigBuffet!$C:$D,2,FALSE),Precios!$A:$C,3,FALSE)*VLOOKUP(C96,ConfigBuffet!$C:$F,4,FALSE),0)+IFERROR(F96*VLOOKUP("b06",Precios!$A:$C,3,FALSE),0)+IFERROR(G96*VLOOKUP("b28",Precios!$A:$C,3,FALSE),0),0)</f>
        <v/>
      </c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>
        <f>IF(E97="Consumo",IFERROR(D97*VLOOKUP(VLOOKUP(C97,ConfigBuffet!$C:$D,2,FALSE),Precios!$A:$C,3,FALSE)*VLOOKUP(C97,ConfigBuffet!$C:$F,4,FALSE),0)+IFERROR(F97*VLOOKUP("b06",Precios!$A:$C,3,FALSE),0)+IFERROR(G97*VLOOKUP("b28",Precios!$A:$C,3,FALSE),0),0)</f>
        <v/>
      </c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>
        <f>IF(E98="Consumo",IFERROR(D98*VLOOKUP(VLOOKUP(C98,ConfigBuffet!$C:$D,2,FALSE),Precios!$A:$C,3,FALSE)*VLOOKUP(C98,ConfigBuffet!$C:$F,4,FALSE),0)+IFERROR(F98*VLOOKUP("b06",Precios!$A:$C,3,FALSE),0)+IFERROR(G98*VLOOKUP("b28",Precios!$A:$C,3,FALSE),0),0)</f>
        <v/>
      </c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>
        <f>IF(E99="Consumo",IFERROR(D99*VLOOKUP(VLOOKUP(C99,ConfigBuffet!$C:$D,2,FALSE),Precios!$A:$C,3,FALSE)*VLOOKUP(C99,ConfigBuffet!$C:$F,4,FALSE),0)+IFERROR(F99*VLOOKUP("b06",Precios!$A:$C,3,FALSE),0)+IFERROR(G99*VLOOKUP("b28",Precios!$A:$C,3,FALSE),0),0)</f>
        <v/>
      </c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>
        <f>IF(E100="Consumo",IFERROR(D100*VLOOKUP(VLOOKUP(C100,ConfigBuffet!$C:$D,2,FALSE),Precios!$A:$C,3,FALSE)*VLOOKUP(C100,ConfigBuffet!$C:$F,4,FALSE),0)+IFERROR(F100*VLOOKUP("b06",Precios!$A:$C,3,FALSE),0)+IFERROR(G100*VLOOKUP("b28",Precios!$A:$C,3,FALSE),0),0)</f>
        <v/>
      </c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>
        <f>IF(E101="Consumo",IFERROR(D101*VLOOKUP(VLOOKUP(C101,ConfigBuffet!$C:$D,2,FALSE),Precios!$A:$C,3,FALSE)*VLOOKUP(C101,ConfigBuffet!$C:$F,4,FALSE),0)+IFERROR(F101*VLOOKUP("b06",Precios!$A:$C,3,FALSE),0)+IFERROR(G101*VLOOKUP("b28",Precios!$A:$C,3,FALSE),0),0)</f>
        <v/>
      </c>
      <c r="I101" s="7" t="n"/>
      <c r="J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>
        <f>IF(E102="Consumo",IFERROR(D102*VLOOKUP(VLOOKUP(C102,ConfigBuffet!$C:$D,2,FALSE),Precios!$A:$C,3,FALSE)*VLOOKUP(C102,ConfigBuffet!$C:$F,4,FALSE),0)+IFERROR(F102*VLOOKUP("b06",Precios!$A:$C,3,FALSE),0)+IFERROR(G102*VLOOKUP("b28",Precios!$A:$C,3,FALSE),0),0)</f>
        <v/>
      </c>
      <c r="I102" s="7" t="n"/>
      <c r="J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>
        <f>IF(E103="Consumo",IFERROR(D103*VLOOKUP(VLOOKUP(C103,ConfigBuffet!$C:$D,2,FALSE),Precios!$A:$C,3,FALSE)*VLOOKUP(C103,ConfigBuffet!$C:$F,4,FALSE),0)+IFERROR(F103*VLOOKUP("b06",Precios!$A:$C,3,FALSE),0)+IFERROR(G103*VLOOKUP("b28",Precios!$A:$C,3,FALSE),0),0)</f>
        <v/>
      </c>
      <c r="I103" s="7" t="n"/>
      <c r="J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>
        <f>IF(E104="Consumo",IFERROR(D104*VLOOKUP(VLOOKUP(C104,ConfigBuffet!$C:$D,2,FALSE),Precios!$A:$C,3,FALSE)*VLOOKUP(C104,ConfigBuffet!$C:$F,4,FALSE),0)+IFERROR(F104*VLOOKUP("b06",Precios!$A:$C,3,FALSE),0)+IFERROR(G104*VLOOKUP("b28",Precios!$A:$C,3,FALSE),0),0)</f>
        <v/>
      </c>
      <c r="I104" s="7" t="n"/>
      <c r="J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>
        <f>IF(E105="Consumo",IFERROR(D105*VLOOKUP(VLOOKUP(C105,ConfigBuffet!$C:$D,2,FALSE),Precios!$A:$C,3,FALSE)*VLOOKUP(C105,ConfigBuffet!$C:$F,4,FALSE),0)+IFERROR(F105*VLOOKUP("b06",Precios!$A:$C,3,FALSE),0)+IFERROR(G105*VLOOKUP("b28",Precios!$A:$C,3,FALSE),0),0)</f>
        <v/>
      </c>
      <c r="I105" s="7" t="n"/>
      <c r="J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>
        <f>IF(E106="Consumo",IFERROR(D106*VLOOKUP(VLOOKUP(C106,ConfigBuffet!$C:$D,2,FALSE),Precios!$A:$C,3,FALSE)*VLOOKUP(C106,ConfigBuffet!$C:$F,4,FALSE),0)+IFERROR(F106*VLOOKUP("b06",Precios!$A:$C,3,FALSE),0)+IFERROR(G106*VLOOKUP("b28",Precios!$A:$C,3,FALSE),0),0)</f>
        <v/>
      </c>
      <c r="I106" s="7" t="n"/>
      <c r="J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>
        <f>IF(E107="Consumo",IFERROR(D107*VLOOKUP(VLOOKUP(C107,ConfigBuffet!$C:$D,2,FALSE),Precios!$A:$C,3,FALSE)*VLOOKUP(C107,ConfigBuffet!$C:$F,4,FALSE),0)+IFERROR(F107*VLOOKUP("b06",Precios!$A:$C,3,FALSE),0)+IFERROR(G107*VLOOKUP("b28",Precios!$A:$C,3,FALSE),0),0)</f>
        <v/>
      </c>
      <c r="I107" s="7" t="n"/>
      <c r="J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>
        <f>IF(E108="Consumo",IFERROR(D108*VLOOKUP(VLOOKUP(C108,ConfigBuffet!$C:$D,2,FALSE),Precios!$A:$C,3,FALSE)*VLOOKUP(C108,ConfigBuffet!$C:$F,4,FALSE),0)+IFERROR(F108*VLOOKUP("b06",Precios!$A:$C,3,FALSE),0)+IFERROR(G108*VLOOKUP("b28",Precios!$A:$C,3,FALSE),0),0)</f>
        <v/>
      </c>
      <c r="I108" s="7" t="n"/>
      <c r="J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>
        <f>IF(E109="Consumo",IFERROR(D109*VLOOKUP(VLOOKUP(C109,ConfigBuffet!$C:$D,2,FALSE),Precios!$A:$C,3,FALSE)*VLOOKUP(C109,ConfigBuffet!$C:$F,4,FALSE),0)+IFERROR(F109*VLOOKUP("b06",Precios!$A:$C,3,FALSE),0)+IFERROR(G109*VLOOKUP("b28",Precios!$A:$C,3,FALSE),0),0)</f>
        <v/>
      </c>
      <c r="I109" s="7" t="n"/>
      <c r="J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>
        <f>IF(E110="Consumo",IFERROR(D110*VLOOKUP(VLOOKUP(C110,ConfigBuffet!$C:$D,2,FALSE),Precios!$A:$C,3,FALSE)*VLOOKUP(C110,ConfigBuffet!$C:$F,4,FALSE),0)+IFERROR(F110*VLOOKUP("b06",Precios!$A:$C,3,FALSE),0)+IFERROR(G110*VLOOKUP("b28",Precios!$A:$C,3,FALSE),0),0)</f>
        <v/>
      </c>
      <c r="I110" s="7" t="n"/>
      <c r="J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>
        <f>IF(E111="Consumo",IFERROR(D111*VLOOKUP(VLOOKUP(C111,ConfigBuffet!$C:$D,2,FALSE),Precios!$A:$C,3,FALSE)*VLOOKUP(C111,ConfigBuffet!$C:$F,4,FALSE),0)+IFERROR(F111*VLOOKUP("b06",Precios!$A:$C,3,FALSE),0)+IFERROR(G111*VLOOKUP("b28",Precios!$A:$C,3,FALSE),0),0)</f>
        <v/>
      </c>
      <c r="I111" s="7" t="n"/>
      <c r="J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>
        <f>IF(E112="Consumo",IFERROR(D112*VLOOKUP(VLOOKUP(C112,ConfigBuffet!$C:$D,2,FALSE),Precios!$A:$C,3,FALSE)*VLOOKUP(C112,ConfigBuffet!$C:$F,4,FALSE),0)+IFERROR(F112*VLOOKUP("b06",Precios!$A:$C,3,FALSE),0)+IFERROR(G112*VLOOKUP("b28",Precios!$A:$C,3,FALSE),0),0)</f>
        <v/>
      </c>
      <c r="I112" s="7" t="n"/>
      <c r="J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>
        <f>IF(E113="Consumo",IFERROR(D113*VLOOKUP(VLOOKUP(C113,ConfigBuffet!$C:$D,2,FALSE),Precios!$A:$C,3,FALSE)*VLOOKUP(C113,ConfigBuffet!$C:$F,4,FALSE),0)+IFERROR(F113*VLOOKUP("b06",Precios!$A:$C,3,FALSE),0)+IFERROR(G113*VLOOKUP("b28",Precios!$A:$C,3,FALSE),0),0)</f>
        <v/>
      </c>
      <c r="I113" s="7" t="n"/>
      <c r="J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>
        <f>IF(E114="Consumo",IFERROR(D114*VLOOKUP(VLOOKUP(C114,ConfigBuffet!$C:$D,2,FALSE),Precios!$A:$C,3,FALSE)*VLOOKUP(C114,ConfigBuffet!$C:$F,4,FALSE),0)+IFERROR(F114*VLOOKUP("b06",Precios!$A:$C,3,FALSE),0)+IFERROR(G114*VLOOKUP("b28",Precios!$A:$C,3,FALSE),0),0)</f>
        <v/>
      </c>
      <c r="I114" s="7" t="n"/>
      <c r="J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>
        <f>IF(E115="Consumo",IFERROR(D115*VLOOKUP(VLOOKUP(C115,ConfigBuffet!$C:$D,2,FALSE),Precios!$A:$C,3,FALSE)*VLOOKUP(C115,ConfigBuffet!$C:$F,4,FALSE),0)+IFERROR(F115*VLOOKUP("b06",Precios!$A:$C,3,FALSE),0)+IFERROR(G115*VLOOKUP("b28",Precios!$A:$C,3,FALSE),0),0)</f>
        <v/>
      </c>
      <c r="I115" s="7" t="n"/>
      <c r="J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>
        <f>IF(E116="Consumo",IFERROR(D116*VLOOKUP(VLOOKUP(C116,ConfigBuffet!$C:$D,2,FALSE),Precios!$A:$C,3,FALSE)*VLOOKUP(C116,ConfigBuffet!$C:$F,4,FALSE),0)+IFERROR(F116*VLOOKUP("b06",Precios!$A:$C,3,FALSE),0)+IFERROR(G116*VLOOKUP("b28",Precios!$A:$C,3,FALSE),0),0)</f>
        <v/>
      </c>
      <c r="I116" s="7" t="n"/>
      <c r="J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>
        <f>IF(E117="Consumo",IFERROR(D117*VLOOKUP(VLOOKUP(C117,ConfigBuffet!$C:$D,2,FALSE),Precios!$A:$C,3,FALSE)*VLOOKUP(C117,ConfigBuffet!$C:$F,4,FALSE),0)+IFERROR(F117*VLOOKUP("b06",Precios!$A:$C,3,FALSE),0)+IFERROR(G117*VLOOKUP("b28",Precios!$A:$C,3,FALSE),0),0)</f>
        <v/>
      </c>
      <c r="I117" s="7" t="n"/>
      <c r="J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>
        <f>IF(E118="Consumo",IFERROR(D118*VLOOKUP(VLOOKUP(C118,ConfigBuffet!$C:$D,2,FALSE),Precios!$A:$C,3,FALSE)*VLOOKUP(C118,ConfigBuffet!$C:$F,4,FALSE),0)+IFERROR(F118*VLOOKUP("b06",Precios!$A:$C,3,FALSE),0)+IFERROR(G118*VLOOKUP("b28",Precios!$A:$C,3,FALSE),0),0)</f>
        <v/>
      </c>
      <c r="I118" s="7" t="n"/>
      <c r="J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>
        <f>IF(E119="Consumo",IFERROR(D119*VLOOKUP(VLOOKUP(C119,ConfigBuffet!$C:$D,2,FALSE),Precios!$A:$C,3,FALSE)*VLOOKUP(C119,ConfigBuffet!$C:$F,4,FALSE),0)+IFERROR(F119*VLOOKUP("b06",Precios!$A:$C,3,FALSE),0)+IFERROR(G119*VLOOKUP("b28",Precios!$A:$C,3,FALSE),0),0)</f>
        <v/>
      </c>
      <c r="I119" s="7" t="n"/>
      <c r="J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>
        <f>IF(E120="Consumo",IFERROR(D120*VLOOKUP(VLOOKUP(C120,ConfigBuffet!$C:$D,2,FALSE),Precios!$A:$C,3,FALSE)*VLOOKUP(C120,ConfigBuffet!$C:$F,4,FALSE),0)+IFERROR(F120*VLOOKUP("b06",Precios!$A:$C,3,FALSE),0)+IFERROR(G120*VLOOKUP("b28",Precios!$A:$C,3,FALSE),0),0)</f>
        <v/>
      </c>
      <c r="I120" s="7" t="n"/>
      <c r="J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>
        <f>IF(E121="Consumo",IFERROR(D121*VLOOKUP(VLOOKUP(C121,ConfigBuffet!$C:$D,2,FALSE),Precios!$A:$C,3,FALSE)*VLOOKUP(C121,ConfigBuffet!$C:$F,4,FALSE),0)+IFERROR(F121*VLOOKUP("b06",Precios!$A:$C,3,FALSE),0)+IFERROR(G121*VLOOKUP("b28",Precios!$A:$C,3,FALSE),0),0)</f>
        <v/>
      </c>
      <c r="I121" s="7" t="n"/>
      <c r="J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>
        <f>IF(E122="Consumo",IFERROR(D122*VLOOKUP(VLOOKUP(C122,ConfigBuffet!$C:$D,2,FALSE),Precios!$A:$C,3,FALSE)*VLOOKUP(C122,ConfigBuffet!$C:$F,4,FALSE),0)+IFERROR(F122*VLOOKUP("b06",Precios!$A:$C,3,FALSE),0)+IFERROR(G122*VLOOKUP("b28",Precios!$A:$C,3,FALSE),0),0)</f>
        <v/>
      </c>
      <c r="I122" s="7" t="n"/>
      <c r="J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>
        <f>IF(E123="Consumo",IFERROR(D123*VLOOKUP(VLOOKUP(C123,ConfigBuffet!$C:$D,2,FALSE),Precios!$A:$C,3,FALSE)*VLOOKUP(C123,ConfigBuffet!$C:$F,4,FALSE),0)+IFERROR(F123*VLOOKUP("b06",Precios!$A:$C,3,FALSE),0)+IFERROR(G123*VLOOKUP("b28",Precios!$A:$C,3,FALSE),0),0)</f>
        <v/>
      </c>
      <c r="I123" s="7" t="n"/>
      <c r="J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>
        <f>IF(E124="Consumo",IFERROR(D124*VLOOKUP(VLOOKUP(C124,ConfigBuffet!$C:$D,2,FALSE),Precios!$A:$C,3,FALSE)*VLOOKUP(C124,ConfigBuffet!$C:$F,4,FALSE),0)+IFERROR(F124*VLOOKUP("b06",Precios!$A:$C,3,FALSE),0)+IFERROR(G124*VLOOKUP("b28",Precios!$A:$C,3,FALSE),0),0)</f>
        <v/>
      </c>
      <c r="I124" s="7" t="n"/>
      <c r="J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>
        <f>IF(E125="Consumo",IFERROR(D125*VLOOKUP(VLOOKUP(C125,ConfigBuffet!$C:$D,2,FALSE),Precios!$A:$C,3,FALSE)*VLOOKUP(C125,ConfigBuffet!$C:$F,4,FALSE),0)+IFERROR(F125*VLOOKUP("b06",Precios!$A:$C,3,FALSE),0)+IFERROR(G125*VLOOKUP("b28",Precios!$A:$C,3,FALSE),0),0)</f>
        <v/>
      </c>
      <c r="I125" s="7" t="n"/>
      <c r="J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>
        <f>IF(E126="Consumo",IFERROR(D126*VLOOKUP(VLOOKUP(C126,ConfigBuffet!$C:$D,2,FALSE),Precios!$A:$C,3,FALSE)*VLOOKUP(C126,ConfigBuffet!$C:$F,4,FALSE),0)+IFERROR(F126*VLOOKUP("b06",Precios!$A:$C,3,FALSE),0)+IFERROR(G126*VLOOKUP("b28",Precios!$A:$C,3,FALSE),0),0)</f>
        <v/>
      </c>
      <c r="I126" s="7" t="n"/>
      <c r="J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>
        <f>IF(E127="Consumo",IFERROR(D127*VLOOKUP(VLOOKUP(C127,ConfigBuffet!$C:$D,2,FALSE),Precios!$A:$C,3,FALSE)*VLOOKUP(C127,ConfigBuffet!$C:$F,4,FALSE),0)+IFERROR(F127*VLOOKUP("b06",Precios!$A:$C,3,FALSE),0)+IFERROR(G127*VLOOKUP("b28",Precios!$A:$C,3,FALSE),0),0)</f>
        <v/>
      </c>
      <c r="I127" s="7" t="n"/>
      <c r="J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>
        <f>IF(E128="Consumo",IFERROR(D128*VLOOKUP(VLOOKUP(C128,ConfigBuffet!$C:$D,2,FALSE),Precios!$A:$C,3,FALSE)*VLOOKUP(C128,ConfigBuffet!$C:$F,4,FALSE),0)+IFERROR(F128*VLOOKUP("b06",Precios!$A:$C,3,FALSE),0)+IFERROR(G128*VLOOKUP("b28",Precios!$A:$C,3,FALSE),0),0)</f>
        <v/>
      </c>
      <c r="I128" s="7" t="n"/>
      <c r="J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>
        <f>IF(E129="Consumo",IFERROR(D129*VLOOKUP(VLOOKUP(C129,ConfigBuffet!$C:$D,2,FALSE),Precios!$A:$C,3,FALSE)*VLOOKUP(C129,ConfigBuffet!$C:$F,4,FALSE),0)+IFERROR(F129*VLOOKUP("b06",Precios!$A:$C,3,FALSE),0)+IFERROR(G129*VLOOKUP("b28",Precios!$A:$C,3,FALSE),0),0)</f>
        <v/>
      </c>
      <c r="I129" s="7" t="n"/>
      <c r="J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>
        <f>IF(E130="Consumo",IFERROR(D130*VLOOKUP(VLOOKUP(C130,ConfigBuffet!$C:$D,2,FALSE),Precios!$A:$C,3,FALSE)*VLOOKUP(C130,ConfigBuffet!$C:$F,4,FALSE),0)+IFERROR(F130*VLOOKUP("b06",Precios!$A:$C,3,FALSE),0)+IFERROR(G130*VLOOKUP("b28",Precios!$A:$C,3,FALSE),0),0)</f>
        <v/>
      </c>
      <c r="I130" s="7" t="n"/>
      <c r="J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>
        <f>IF(E131="Consumo",IFERROR(D131*VLOOKUP(VLOOKUP(C131,ConfigBuffet!$C:$D,2,FALSE),Precios!$A:$C,3,FALSE)*VLOOKUP(C131,ConfigBuffet!$C:$F,4,FALSE),0)+IFERROR(F131*VLOOKUP("b06",Precios!$A:$C,3,FALSE),0)+IFERROR(G131*VLOOKUP("b28",Precios!$A:$C,3,FALSE),0),0)</f>
        <v/>
      </c>
      <c r="I131" s="7" t="n"/>
      <c r="J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>
        <f>IF(E132="Consumo",IFERROR(D132*VLOOKUP(VLOOKUP(C132,ConfigBuffet!$C:$D,2,FALSE),Precios!$A:$C,3,FALSE)*VLOOKUP(C132,ConfigBuffet!$C:$F,4,FALSE),0)+IFERROR(F132*VLOOKUP("b06",Precios!$A:$C,3,FALSE),0)+IFERROR(G132*VLOOKUP("b28",Precios!$A:$C,3,FALSE),0),0)</f>
        <v/>
      </c>
      <c r="I132" s="7" t="n"/>
      <c r="J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>
        <f>IF(E133="Consumo",IFERROR(D133*VLOOKUP(VLOOKUP(C133,ConfigBuffet!$C:$D,2,FALSE),Precios!$A:$C,3,FALSE)*VLOOKUP(C133,ConfigBuffet!$C:$F,4,FALSE),0)+IFERROR(F133*VLOOKUP("b06",Precios!$A:$C,3,FALSE),0)+IFERROR(G133*VLOOKUP("b28",Precios!$A:$C,3,FALSE),0),0)</f>
        <v/>
      </c>
      <c r="I133" s="7" t="n"/>
      <c r="J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>
        <f>IF(E134="Consumo",IFERROR(D134*VLOOKUP(VLOOKUP(C134,ConfigBuffet!$C:$D,2,FALSE),Precios!$A:$C,3,FALSE)*VLOOKUP(C134,ConfigBuffet!$C:$F,4,FALSE),0)+IFERROR(F134*VLOOKUP("b06",Precios!$A:$C,3,FALSE),0)+IFERROR(G134*VLOOKUP("b28",Precios!$A:$C,3,FALSE),0),0)</f>
        <v/>
      </c>
      <c r="I134" s="7" t="n"/>
      <c r="J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>
        <f>IF(E135="Consumo",IFERROR(D135*VLOOKUP(VLOOKUP(C135,ConfigBuffet!$C:$D,2,FALSE),Precios!$A:$C,3,FALSE)*VLOOKUP(C135,ConfigBuffet!$C:$F,4,FALSE),0)+IFERROR(F135*VLOOKUP("b06",Precios!$A:$C,3,FALSE),0)+IFERROR(G135*VLOOKUP("b28",Precios!$A:$C,3,FALSE),0),0)</f>
        <v/>
      </c>
      <c r="I135" s="7" t="n"/>
      <c r="J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>
        <f>IF(E136="Consumo",IFERROR(D136*VLOOKUP(VLOOKUP(C136,ConfigBuffet!$C:$D,2,FALSE),Precios!$A:$C,3,FALSE)*VLOOKUP(C136,ConfigBuffet!$C:$F,4,FALSE),0)+IFERROR(F136*VLOOKUP("b06",Precios!$A:$C,3,FALSE),0)+IFERROR(G136*VLOOKUP("b28",Precios!$A:$C,3,FALSE),0),0)</f>
        <v/>
      </c>
      <c r="I136" s="7" t="n"/>
      <c r="J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>
        <f>IF(E137="Consumo",IFERROR(D137*VLOOKUP(VLOOKUP(C137,ConfigBuffet!$C:$D,2,FALSE),Precios!$A:$C,3,FALSE)*VLOOKUP(C137,ConfigBuffet!$C:$F,4,FALSE),0)+IFERROR(F137*VLOOKUP("b06",Precios!$A:$C,3,FALSE),0)+IFERROR(G137*VLOOKUP("b28",Precios!$A:$C,3,FALSE),0),0)</f>
        <v/>
      </c>
      <c r="I137" s="7" t="n"/>
      <c r="J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>
        <f>IF(E138="Consumo",IFERROR(D138*VLOOKUP(VLOOKUP(C138,ConfigBuffet!$C:$D,2,FALSE),Precios!$A:$C,3,FALSE)*VLOOKUP(C138,ConfigBuffet!$C:$F,4,FALSE),0)+IFERROR(F138*VLOOKUP("b06",Precios!$A:$C,3,FALSE),0)+IFERROR(G138*VLOOKUP("b28",Precios!$A:$C,3,FALSE),0),0)</f>
        <v/>
      </c>
      <c r="I138" s="7" t="n"/>
      <c r="J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>
        <f>IF(E139="Consumo",IFERROR(D139*VLOOKUP(VLOOKUP(C139,ConfigBuffet!$C:$D,2,FALSE),Precios!$A:$C,3,FALSE)*VLOOKUP(C139,ConfigBuffet!$C:$F,4,FALSE),0)+IFERROR(F139*VLOOKUP("b06",Precios!$A:$C,3,FALSE),0)+IFERROR(G139*VLOOKUP("b28",Precios!$A:$C,3,FALSE),0),0)</f>
        <v/>
      </c>
      <c r="I139" s="7" t="n"/>
      <c r="J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>
        <f>IF(E140="Consumo",IFERROR(D140*VLOOKUP(VLOOKUP(C140,ConfigBuffet!$C:$D,2,FALSE),Precios!$A:$C,3,FALSE)*VLOOKUP(C140,ConfigBuffet!$C:$F,4,FALSE),0)+IFERROR(F140*VLOOKUP("b06",Precios!$A:$C,3,FALSE),0)+IFERROR(G140*VLOOKUP("b28",Precios!$A:$C,3,FALSE),0),0)</f>
        <v/>
      </c>
      <c r="I140" s="7" t="n"/>
      <c r="J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>
        <f>IF(E141="Consumo",IFERROR(D141*VLOOKUP(VLOOKUP(C141,ConfigBuffet!$C:$D,2,FALSE),Precios!$A:$C,3,FALSE)*VLOOKUP(C141,ConfigBuffet!$C:$F,4,FALSE),0)+IFERROR(F141*VLOOKUP("b06",Precios!$A:$C,3,FALSE),0)+IFERROR(G141*VLOOKUP("b28",Precios!$A:$C,3,FALSE),0),0)</f>
        <v/>
      </c>
      <c r="I141" s="7" t="n"/>
      <c r="J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>
        <f>IF(E142="Consumo",IFERROR(D142*VLOOKUP(VLOOKUP(C142,ConfigBuffet!$C:$D,2,FALSE),Precios!$A:$C,3,FALSE)*VLOOKUP(C142,ConfigBuffet!$C:$F,4,FALSE),0)+IFERROR(F142*VLOOKUP("b06",Precios!$A:$C,3,FALSE),0)+IFERROR(G142*VLOOKUP("b28",Precios!$A:$C,3,FALSE),0),0)</f>
        <v/>
      </c>
      <c r="I142" s="7" t="n"/>
      <c r="J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>
        <f>IF(E143="Consumo",IFERROR(D143*VLOOKUP(VLOOKUP(C143,ConfigBuffet!$C:$D,2,FALSE),Precios!$A:$C,3,FALSE)*VLOOKUP(C143,ConfigBuffet!$C:$F,4,FALSE),0)+IFERROR(F143*VLOOKUP("b06",Precios!$A:$C,3,FALSE),0)+IFERROR(G143*VLOOKUP("b28",Precios!$A:$C,3,FALSE),0),0)</f>
        <v/>
      </c>
      <c r="I143" s="7" t="n"/>
      <c r="J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>
        <f>IF(E144="Consumo",IFERROR(D144*VLOOKUP(VLOOKUP(C144,ConfigBuffet!$C:$D,2,FALSE),Precios!$A:$C,3,FALSE)*VLOOKUP(C144,ConfigBuffet!$C:$F,4,FALSE),0)+IFERROR(F144*VLOOKUP("b06",Precios!$A:$C,3,FALSE),0)+IFERROR(G144*VLOOKUP("b28",Precios!$A:$C,3,FALSE),0),0)</f>
        <v/>
      </c>
      <c r="I144" s="7" t="n"/>
      <c r="J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>
        <f>IF(E145="Consumo",IFERROR(D145*VLOOKUP(VLOOKUP(C145,ConfigBuffet!$C:$D,2,FALSE),Precios!$A:$C,3,FALSE)*VLOOKUP(C145,ConfigBuffet!$C:$F,4,FALSE),0)+IFERROR(F145*VLOOKUP("b06",Precios!$A:$C,3,FALSE),0)+IFERROR(G145*VLOOKUP("b28",Precios!$A:$C,3,FALSE),0),0)</f>
        <v/>
      </c>
      <c r="I145" s="7" t="n"/>
      <c r="J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>
        <f>IF(E146="Consumo",IFERROR(D146*VLOOKUP(VLOOKUP(C146,ConfigBuffet!$C:$D,2,FALSE),Precios!$A:$C,3,FALSE)*VLOOKUP(C146,ConfigBuffet!$C:$F,4,FALSE),0)+IFERROR(F146*VLOOKUP("b06",Precios!$A:$C,3,FALSE),0)+IFERROR(G146*VLOOKUP("b28",Precios!$A:$C,3,FALSE),0),0)</f>
        <v/>
      </c>
      <c r="I146" s="7" t="n"/>
      <c r="J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>
        <f>IF(E147="Consumo",IFERROR(D147*VLOOKUP(VLOOKUP(C147,ConfigBuffet!$C:$D,2,FALSE),Precios!$A:$C,3,FALSE)*VLOOKUP(C147,ConfigBuffet!$C:$F,4,FALSE),0)+IFERROR(F147*VLOOKUP("b06",Precios!$A:$C,3,FALSE),0)+IFERROR(G147*VLOOKUP("b28",Precios!$A:$C,3,FALSE),0),0)</f>
        <v/>
      </c>
      <c r="I147" s="7" t="n"/>
      <c r="J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>
        <f>IF(E148="Consumo",IFERROR(D148*VLOOKUP(VLOOKUP(C148,ConfigBuffet!$C:$D,2,FALSE),Precios!$A:$C,3,FALSE)*VLOOKUP(C148,ConfigBuffet!$C:$F,4,FALSE),0)+IFERROR(F148*VLOOKUP("b06",Precios!$A:$C,3,FALSE),0)+IFERROR(G148*VLOOKUP("b28",Precios!$A:$C,3,FALSE),0),0)</f>
        <v/>
      </c>
      <c r="I148" s="7" t="n"/>
      <c r="J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>
        <f>IF(E149="Consumo",IFERROR(D149*VLOOKUP(VLOOKUP(C149,ConfigBuffet!$C:$D,2,FALSE),Precios!$A:$C,3,FALSE)*VLOOKUP(C149,ConfigBuffet!$C:$F,4,FALSE),0)+IFERROR(F149*VLOOKUP("b06",Precios!$A:$C,3,FALSE),0)+IFERROR(G149*VLOOKUP("b28",Precios!$A:$C,3,FALSE),0),0)</f>
        <v/>
      </c>
      <c r="I149" s="7" t="n"/>
      <c r="J149" s="7" t="n"/>
    </row>
    <row r="150">
      <c r="A150" s="7" t="n"/>
      <c r="B150" s="7" t="n"/>
      <c r="C150" s="7" t="n"/>
      <c r="D150" s="7" t="n"/>
      <c r="E150" s="7" t="n"/>
      <c r="F150" s="7" t="n"/>
      <c r="G150" s="7" t="inlineStr">
        <is>
          <t>TOTAL</t>
        </is>
      </c>
      <c r="H150" s="7">
        <f>SUM(H2:H150)</f>
        <v/>
      </c>
      <c r="I150" s="7" t="n"/>
      <c r="J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>
        <f>IF(E151="Consumo",IFERROR(D151*VLOOKUP(VLOOKUP(C151,ConfigBuffet!$C:$D,2,FALSE),Precios!$A:$C,3,FALSE)*VLOOKUP(C151,ConfigBuffet!$C:$F,4,FALSE),0)+IFERROR(F151*VLOOKUP("b06",Precios!$A:$C,3,FALSE),0)+IFERROR(G151*VLOOKUP("b28",Precios!$A:$C,3,FALSE),0),0)</f>
        <v/>
      </c>
      <c r="I151" s="7" t="n"/>
      <c r="J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>
        <f>IF(E152="Consumo",IFERROR(D152*VLOOKUP(VLOOKUP(C152,ConfigBuffet!$C:$D,2,FALSE),Precios!$A:$C,3,FALSE)*VLOOKUP(C152,ConfigBuffet!$C:$F,4,FALSE),0)+IFERROR(F152*VLOOKUP("b06",Precios!$A:$C,3,FALSE),0)+IFERROR(G152*VLOOKUP("b28",Precios!$A:$C,3,FALSE),0),0)</f>
        <v/>
      </c>
      <c r="I152" s="7" t="n"/>
      <c r="J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>
        <f>IF(E153="Consumo",IFERROR(D153*VLOOKUP(VLOOKUP(C153,ConfigBuffet!$C:$D,2,FALSE),Precios!$A:$C,3,FALSE)*VLOOKUP(C153,ConfigBuffet!$C:$F,4,FALSE),0)+IFERROR(F153*VLOOKUP("b06",Precios!$A:$C,3,FALSE),0)+IFERROR(G153*VLOOKUP("b28",Precios!$A:$C,3,FALSE),0),0)</f>
        <v/>
      </c>
      <c r="I153" s="7" t="n"/>
      <c r="J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>
        <f>IF(E154="Consumo",IFERROR(D154*VLOOKUP(VLOOKUP(C154,ConfigBuffet!$C:$D,2,FALSE),Precios!$A:$C,3,FALSE)*VLOOKUP(C154,ConfigBuffet!$C:$F,4,FALSE),0)+IFERROR(F154*VLOOKUP("b06",Precios!$A:$C,3,FALSE),0)+IFERROR(G154*VLOOKUP("b28",Precios!$A:$C,3,FALSE),0),0)</f>
        <v/>
      </c>
      <c r="I154" s="7" t="n"/>
      <c r="J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>
        <f>IF(E155="Consumo",IFERROR(D155*VLOOKUP(VLOOKUP(C155,ConfigBuffet!$C:$D,2,FALSE),Precios!$A:$C,3,FALSE)*VLOOKUP(C155,ConfigBuffet!$C:$F,4,FALSE),0)+IFERROR(F155*VLOOKUP("b06",Precios!$A:$C,3,FALSE),0)+IFERROR(G155*VLOOKUP("b28",Precios!$A:$C,3,FALSE),0),0)</f>
        <v/>
      </c>
      <c r="I155" s="7" t="n"/>
      <c r="J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>
        <f>IF(E156="Consumo",IFERROR(D156*VLOOKUP(VLOOKUP(C156,ConfigBuffet!$C:$D,2,FALSE),Precios!$A:$C,3,FALSE)*VLOOKUP(C156,ConfigBuffet!$C:$F,4,FALSE),0)+IFERROR(F156*VLOOKUP("b06",Precios!$A:$C,3,FALSE),0)+IFERROR(G156*VLOOKUP("b28",Precios!$A:$C,3,FALSE),0),0)</f>
        <v/>
      </c>
      <c r="I156" s="7" t="n"/>
      <c r="J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>
        <f>IF(E157="Consumo",IFERROR(D157*VLOOKUP(VLOOKUP(C157,ConfigBuffet!$C:$D,2,FALSE),Precios!$A:$C,3,FALSE)*VLOOKUP(C157,ConfigBuffet!$C:$F,4,FALSE),0)+IFERROR(F157*VLOOKUP("b06",Precios!$A:$C,3,FALSE),0)+IFERROR(G157*VLOOKUP("b28",Precios!$A:$C,3,FALSE),0),0)</f>
        <v/>
      </c>
      <c r="I157" s="7" t="n"/>
      <c r="J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>
        <f>IF(E158="Consumo",IFERROR(D158*VLOOKUP(VLOOKUP(C158,ConfigBuffet!$C:$D,2,FALSE),Precios!$A:$C,3,FALSE)*VLOOKUP(C158,ConfigBuffet!$C:$F,4,FALSE),0)+IFERROR(F158*VLOOKUP("b06",Precios!$A:$C,3,FALSE),0)+IFERROR(G158*VLOOKUP("b28",Precios!$A:$C,3,FALSE),0),0)</f>
        <v/>
      </c>
      <c r="I158" s="7" t="n"/>
      <c r="J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>
        <f>IF(E159="Consumo",IFERROR(D159*VLOOKUP(VLOOKUP(C159,ConfigBuffet!$C:$D,2,FALSE),Precios!$A:$C,3,FALSE)*VLOOKUP(C159,ConfigBuffet!$C:$F,4,FALSE),0)+IFERROR(F159*VLOOKUP("b06",Precios!$A:$C,3,FALSE),0)+IFERROR(G159*VLOOKUP("b28",Precios!$A:$C,3,FALSE),0),0)</f>
        <v/>
      </c>
      <c r="I159" s="7" t="n"/>
      <c r="J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>
        <f>IF(E160="Consumo",IFERROR(D160*VLOOKUP(VLOOKUP(C160,ConfigBuffet!$C:$D,2,FALSE),Precios!$A:$C,3,FALSE)*VLOOKUP(C160,ConfigBuffet!$C:$F,4,FALSE),0)+IFERROR(F160*VLOOKUP("b06",Precios!$A:$C,3,FALSE),0)+IFERROR(G160*VLOOKUP("b28",Precios!$A:$C,3,FALSE),0),0)</f>
        <v/>
      </c>
      <c r="I160" s="7" t="n"/>
      <c r="J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>
        <f>IF(E161="Consumo",IFERROR(D161*VLOOKUP(VLOOKUP(C161,ConfigBuffet!$C:$D,2,FALSE),Precios!$A:$C,3,FALSE)*VLOOKUP(C161,ConfigBuffet!$C:$F,4,FALSE),0)+IFERROR(F161*VLOOKUP("b06",Precios!$A:$C,3,FALSE),0)+IFERROR(G161*VLOOKUP("b28",Precios!$A:$C,3,FALSE),0),0)</f>
        <v/>
      </c>
      <c r="I161" s="7" t="n"/>
      <c r="J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>
        <f>IF(E162="Consumo",IFERROR(D162*VLOOKUP(VLOOKUP(C162,ConfigBuffet!$C:$D,2,FALSE),Precios!$A:$C,3,FALSE)*VLOOKUP(C162,ConfigBuffet!$C:$F,4,FALSE),0)+IFERROR(F162*VLOOKUP("b06",Precios!$A:$C,3,FALSE),0)+IFERROR(G162*VLOOKUP("b28",Precios!$A:$C,3,FALSE),0),0)</f>
        <v/>
      </c>
      <c r="I162" s="7" t="n"/>
      <c r="J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>
        <f>IF(E163="Consumo",IFERROR(D163*VLOOKUP(VLOOKUP(C163,ConfigBuffet!$C:$D,2,FALSE),Precios!$A:$C,3,FALSE)*VLOOKUP(C163,ConfigBuffet!$C:$F,4,FALSE),0)+IFERROR(F163*VLOOKUP("b06",Precios!$A:$C,3,FALSE),0)+IFERROR(G163*VLOOKUP("b28",Precios!$A:$C,3,FALSE),0),0)</f>
        <v/>
      </c>
      <c r="I163" s="7" t="n"/>
      <c r="J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>
        <f>IF(E164="Consumo",IFERROR(D164*VLOOKUP(VLOOKUP(C164,ConfigBuffet!$C:$D,2,FALSE),Precios!$A:$C,3,FALSE)*VLOOKUP(C164,ConfigBuffet!$C:$F,4,FALSE),0)+IFERROR(F164*VLOOKUP("b06",Precios!$A:$C,3,FALSE),0)+IFERROR(G164*VLOOKUP("b28",Precios!$A:$C,3,FALSE),0),0)</f>
        <v/>
      </c>
      <c r="I164" s="7" t="n"/>
      <c r="J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>
        <f>IF(E165="Consumo",IFERROR(D165*VLOOKUP(VLOOKUP(C165,ConfigBuffet!$C:$D,2,FALSE),Precios!$A:$C,3,FALSE)*VLOOKUP(C165,ConfigBuffet!$C:$F,4,FALSE),0)+IFERROR(F165*VLOOKUP("b06",Precios!$A:$C,3,FALSE),0)+IFERROR(G165*VLOOKUP("b28",Precios!$A:$C,3,FALSE),0),0)</f>
        <v/>
      </c>
      <c r="I165" s="7" t="n"/>
      <c r="J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>
        <f>IF(E166="Consumo",IFERROR(D166*VLOOKUP(VLOOKUP(C166,ConfigBuffet!$C:$D,2,FALSE),Precios!$A:$C,3,FALSE)*VLOOKUP(C166,ConfigBuffet!$C:$F,4,FALSE),0)+IFERROR(F166*VLOOKUP("b06",Precios!$A:$C,3,FALSE),0)+IFERROR(G166*VLOOKUP("b28",Precios!$A:$C,3,FALSE),0),0)</f>
        <v/>
      </c>
      <c r="I166" s="7" t="n"/>
      <c r="J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>
        <f>IF(E167="Consumo",IFERROR(D167*VLOOKUP(VLOOKUP(C167,ConfigBuffet!$C:$D,2,FALSE),Precios!$A:$C,3,FALSE)*VLOOKUP(C167,ConfigBuffet!$C:$F,4,FALSE),0)+IFERROR(F167*VLOOKUP("b06",Precios!$A:$C,3,FALSE),0)+IFERROR(G167*VLOOKUP("b28",Precios!$A:$C,3,FALSE),0),0)</f>
        <v/>
      </c>
      <c r="I167" s="7" t="n"/>
      <c r="J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>
        <f>IF(E168="Consumo",IFERROR(D168*VLOOKUP(VLOOKUP(C168,ConfigBuffet!$C:$D,2,FALSE),Precios!$A:$C,3,FALSE)*VLOOKUP(C168,ConfigBuffet!$C:$F,4,FALSE),0)+IFERROR(F168*VLOOKUP("b06",Precios!$A:$C,3,FALSE),0)+IFERROR(G168*VLOOKUP("b28",Precios!$A:$C,3,FALSE),0),0)</f>
        <v/>
      </c>
      <c r="I168" s="7" t="n"/>
      <c r="J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>
        <f>IF(E169="Consumo",IFERROR(D169*VLOOKUP(VLOOKUP(C169,ConfigBuffet!$C:$D,2,FALSE),Precios!$A:$C,3,FALSE)*VLOOKUP(C169,ConfigBuffet!$C:$F,4,FALSE),0)+IFERROR(F169*VLOOKUP("b06",Precios!$A:$C,3,FALSE),0)+IFERROR(G169*VLOOKUP("b28",Precios!$A:$C,3,FALSE),0),0)</f>
        <v/>
      </c>
      <c r="I169" s="7" t="n"/>
      <c r="J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>
        <f>IF(E170="Consumo",IFERROR(D170*VLOOKUP(VLOOKUP(C170,ConfigBuffet!$C:$D,2,FALSE),Precios!$A:$C,3,FALSE)*VLOOKUP(C170,ConfigBuffet!$C:$F,4,FALSE),0)+IFERROR(F170*VLOOKUP("b06",Precios!$A:$C,3,FALSE),0)+IFERROR(G170*VLOOKUP("b28",Precios!$A:$C,3,FALSE),0),0)</f>
        <v/>
      </c>
      <c r="I170" s="7" t="n"/>
      <c r="J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>
        <f>IF(E171="Consumo",IFERROR(D171*VLOOKUP(VLOOKUP(C171,ConfigBuffet!$C:$D,2,FALSE),Precios!$A:$C,3,FALSE)*VLOOKUP(C171,ConfigBuffet!$C:$F,4,FALSE),0)+IFERROR(F171*VLOOKUP("b06",Precios!$A:$C,3,FALSE),0)+IFERROR(G171*VLOOKUP("b28",Precios!$A:$C,3,FALSE),0),0)</f>
        <v/>
      </c>
      <c r="I171" s="7" t="n"/>
      <c r="J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>
        <f>IF(E172="Consumo",IFERROR(D172*VLOOKUP(VLOOKUP(C172,ConfigBuffet!$C:$D,2,FALSE),Precios!$A:$C,3,FALSE)*VLOOKUP(C172,ConfigBuffet!$C:$F,4,FALSE),0)+IFERROR(F172*VLOOKUP("b06",Precios!$A:$C,3,FALSE),0)+IFERROR(G172*VLOOKUP("b28",Precios!$A:$C,3,FALSE),0),0)</f>
        <v/>
      </c>
      <c r="I172" s="7" t="n"/>
      <c r="J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>
        <f>IF(E173="Consumo",IFERROR(D173*VLOOKUP(VLOOKUP(C173,ConfigBuffet!$C:$D,2,FALSE),Precios!$A:$C,3,FALSE)*VLOOKUP(C173,ConfigBuffet!$C:$F,4,FALSE),0)+IFERROR(F173*VLOOKUP("b06",Precios!$A:$C,3,FALSE),0)+IFERROR(G173*VLOOKUP("b28",Precios!$A:$C,3,FALSE),0),0)</f>
        <v/>
      </c>
      <c r="I173" s="7" t="n"/>
      <c r="J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>
        <f>IF(E174="Consumo",IFERROR(D174*VLOOKUP(VLOOKUP(C174,ConfigBuffet!$C:$D,2,FALSE),Precios!$A:$C,3,FALSE)*VLOOKUP(C174,ConfigBuffet!$C:$F,4,FALSE),0)+IFERROR(F174*VLOOKUP("b06",Precios!$A:$C,3,FALSE),0)+IFERROR(G174*VLOOKUP("b28",Precios!$A:$C,3,FALSE),0),0)</f>
        <v/>
      </c>
      <c r="I174" s="7" t="n"/>
      <c r="J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>
        <f>IF(E175="Consumo",IFERROR(D175*VLOOKUP(VLOOKUP(C175,ConfigBuffet!$C:$D,2,FALSE),Precios!$A:$C,3,FALSE)*VLOOKUP(C175,ConfigBuffet!$C:$F,4,FALSE),0)+IFERROR(F175*VLOOKUP("b06",Precios!$A:$C,3,FALSE),0)+IFERROR(G175*VLOOKUP("b28",Precios!$A:$C,3,FALSE),0),0)</f>
        <v/>
      </c>
      <c r="I175" s="7" t="n"/>
      <c r="J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>
        <f>IF(E176="Consumo",IFERROR(D176*VLOOKUP(VLOOKUP(C176,ConfigBuffet!$C:$D,2,FALSE),Precios!$A:$C,3,FALSE)*VLOOKUP(C176,ConfigBuffet!$C:$F,4,FALSE),0)+IFERROR(F176*VLOOKUP("b06",Precios!$A:$C,3,FALSE),0)+IFERROR(G176*VLOOKUP("b28",Precios!$A:$C,3,FALSE),0),0)</f>
        <v/>
      </c>
      <c r="I176" s="7" t="n"/>
      <c r="J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>
        <f>IF(E177="Consumo",IFERROR(D177*VLOOKUP(VLOOKUP(C177,ConfigBuffet!$C:$D,2,FALSE),Precios!$A:$C,3,FALSE)*VLOOKUP(C177,ConfigBuffet!$C:$F,4,FALSE),0)+IFERROR(F177*VLOOKUP("b06",Precios!$A:$C,3,FALSE),0)+IFERROR(G177*VLOOKUP("b28",Precios!$A:$C,3,FALSE),0),0)</f>
        <v/>
      </c>
      <c r="I177" s="7" t="n"/>
      <c r="J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>
        <f>IF(E178="Consumo",IFERROR(D178*VLOOKUP(VLOOKUP(C178,ConfigBuffet!$C:$D,2,FALSE),Precios!$A:$C,3,FALSE)*VLOOKUP(C178,ConfigBuffet!$C:$F,4,FALSE),0)+IFERROR(F178*VLOOKUP("b06",Precios!$A:$C,3,FALSE),0)+IFERROR(G178*VLOOKUP("b28",Precios!$A:$C,3,FALSE),0),0)</f>
        <v/>
      </c>
      <c r="I178" s="7" t="n"/>
      <c r="J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>
        <f>IF(E179="Consumo",IFERROR(D179*VLOOKUP(VLOOKUP(C179,ConfigBuffet!$C:$D,2,FALSE),Precios!$A:$C,3,FALSE)*VLOOKUP(C179,ConfigBuffet!$C:$F,4,FALSE),0)+IFERROR(F179*VLOOKUP("b06",Precios!$A:$C,3,FALSE),0)+IFERROR(G179*VLOOKUP("b28",Precios!$A:$C,3,FALSE),0),0)</f>
        <v/>
      </c>
      <c r="I179" s="7" t="n"/>
      <c r="J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>
        <f>IF(E180="Consumo",IFERROR(D180*VLOOKUP(VLOOKUP(C180,ConfigBuffet!$C:$D,2,FALSE),Precios!$A:$C,3,FALSE)*VLOOKUP(C180,ConfigBuffet!$C:$F,4,FALSE),0)+IFERROR(F180*VLOOKUP("b06",Precios!$A:$C,3,FALSE),0)+IFERROR(G180*VLOOKUP("b28",Precios!$A:$C,3,FALSE),0),0)</f>
        <v/>
      </c>
      <c r="I180" s="7" t="n"/>
      <c r="J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>
        <f>IF(E181="Consumo",IFERROR(D181*VLOOKUP(VLOOKUP(C181,ConfigBuffet!$C:$D,2,FALSE),Precios!$A:$C,3,FALSE)*VLOOKUP(C181,ConfigBuffet!$C:$F,4,FALSE),0)+IFERROR(F181*VLOOKUP("b06",Precios!$A:$C,3,FALSE),0)+IFERROR(G181*VLOOKUP("b28",Precios!$A:$C,3,FALSE),0),0)</f>
        <v/>
      </c>
      <c r="I181" s="7" t="n"/>
      <c r="J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>
        <f>IF(E182="Consumo",IFERROR(D182*VLOOKUP(VLOOKUP(C182,ConfigBuffet!$C:$D,2,FALSE),Precios!$A:$C,3,FALSE)*VLOOKUP(C182,ConfigBuffet!$C:$F,4,FALSE),0)+IFERROR(F182*VLOOKUP("b06",Precios!$A:$C,3,FALSE),0)+IFERROR(G182*VLOOKUP("b28",Precios!$A:$C,3,FALSE),0),0)</f>
        <v/>
      </c>
      <c r="I182" s="7" t="n"/>
      <c r="J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>
        <f>IF(E183="Consumo",IFERROR(D183*VLOOKUP(VLOOKUP(C183,ConfigBuffet!$C:$D,2,FALSE),Precios!$A:$C,3,FALSE)*VLOOKUP(C183,ConfigBuffet!$C:$F,4,FALSE),0)+IFERROR(F183*VLOOKUP("b06",Precios!$A:$C,3,FALSE),0)+IFERROR(G183*VLOOKUP("b28",Precios!$A:$C,3,FALSE),0),0)</f>
        <v/>
      </c>
      <c r="I183" s="7" t="n"/>
      <c r="J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>
        <f>IF(E184="Consumo",IFERROR(D184*VLOOKUP(VLOOKUP(C184,ConfigBuffet!$C:$D,2,FALSE),Precios!$A:$C,3,FALSE)*VLOOKUP(C184,ConfigBuffet!$C:$F,4,FALSE),0)+IFERROR(F184*VLOOKUP("b06",Precios!$A:$C,3,FALSE),0)+IFERROR(G184*VLOOKUP("b28",Precios!$A:$C,3,FALSE),0),0)</f>
        <v/>
      </c>
      <c r="I184" s="7" t="n"/>
      <c r="J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>
        <f>IF(E185="Consumo",IFERROR(D185*VLOOKUP(VLOOKUP(C185,ConfigBuffet!$C:$D,2,FALSE),Precios!$A:$C,3,FALSE)*VLOOKUP(C185,ConfigBuffet!$C:$F,4,FALSE),0)+IFERROR(F185*VLOOKUP("b06",Precios!$A:$C,3,FALSE),0)+IFERROR(G185*VLOOKUP("b28",Precios!$A:$C,3,FALSE),0),0)</f>
        <v/>
      </c>
      <c r="I185" s="7" t="n"/>
      <c r="J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>
        <f>IF(E186="Consumo",IFERROR(D186*VLOOKUP(VLOOKUP(C186,ConfigBuffet!$C:$D,2,FALSE),Precios!$A:$C,3,FALSE)*VLOOKUP(C186,ConfigBuffet!$C:$F,4,FALSE),0)+IFERROR(F186*VLOOKUP("b06",Precios!$A:$C,3,FALSE),0)+IFERROR(G186*VLOOKUP("b28",Precios!$A:$C,3,FALSE),0),0)</f>
        <v/>
      </c>
      <c r="I186" s="7" t="n"/>
      <c r="J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>
        <f>IF(E187="Consumo",IFERROR(D187*VLOOKUP(VLOOKUP(C187,ConfigBuffet!$C:$D,2,FALSE),Precios!$A:$C,3,FALSE)*VLOOKUP(C187,ConfigBuffet!$C:$F,4,FALSE),0)+IFERROR(F187*VLOOKUP("b06",Precios!$A:$C,3,FALSE),0)+IFERROR(G187*VLOOKUP("b28",Precios!$A:$C,3,FALSE),0),0)</f>
        <v/>
      </c>
      <c r="I187" s="7" t="n"/>
      <c r="J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>
        <f>IF(E188="Consumo",IFERROR(D188*VLOOKUP(VLOOKUP(C188,ConfigBuffet!$C:$D,2,FALSE),Precios!$A:$C,3,FALSE)*VLOOKUP(C188,ConfigBuffet!$C:$F,4,FALSE),0)+IFERROR(F188*VLOOKUP("b06",Precios!$A:$C,3,FALSE),0)+IFERROR(G188*VLOOKUP("b28",Precios!$A:$C,3,FALSE),0),0)</f>
        <v/>
      </c>
      <c r="I188" s="7" t="n"/>
      <c r="J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>
        <f>IF(E189="Consumo",IFERROR(D189*VLOOKUP(VLOOKUP(C189,ConfigBuffet!$C:$D,2,FALSE),Precios!$A:$C,3,FALSE)*VLOOKUP(C189,ConfigBuffet!$C:$F,4,FALSE),0)+IFERROR(F189*VLOOKUP("b06",Precios!$A:$C,3,FALSE),0)+IFERROR(G189*VLOOKUP("b28",Precios!$A:$C,3,FALSE),0),0)</f>
        <v/>
      </c>
      <c r="I189" s="7" t="n"/>
      <c r="J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>
        <f>IF(E190="Consumo",IFERROR(D190*VLOOKUP(VLOOKUP(C190,ConfigBuffet!$C:$D,2,FALSE),Precios!$A:$C,3,FALSE)*VLOOKUP(C190,ConfigBuffet!$C:$F,4,FALSE),0)+IFERROR(F190*VLOOKUP("b06",Precios!$A:$C,3,FALSE),0)+IFERROR(G190*VLOOKUP("b28",Precios!$A:$C,3,FALSE),0),0)</f>
        <v/>
      </c>
      <c r="I190" s="7" t="n"/>
      <c r="J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>
        <f>IF(E191="Consumo",IFERROR(D191*VLOOKUP(VLOOKUP(C191,ConfigBuffet!$C:$D,2,FALSE),Precios!$A:$C,3,FALSE)*VLOOKUP(C191,ConfigBuffet!$C:$F,4,FALSE),0)+IFERROR(F191*VLOOKUP("b06",Precios!$A:$C,3,FALSE),0)+IFERROR(G191*VLOOKUP("b28",Precios!$A:$C,3,FALSE),0),0)</f>
        <v/>
      </c>
      <c r="I191" s="7" t="n"/>
      <c r="J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>
        <f>IF(E192="Consumo",IFERROR(D192*VLOOKUP(VLOOKUP(C192,ConfigBuffet!$C:$D,2,FALSE),Precios!$A:$C,3,FALSE)*VLOOKUP(C192,ConfigBuffet!$C:$F,4,FALSE),0)+IFERROR(F192*VLOOKUP("b06",Precios!$A:$C,3,FALSE),0)+IFERROR(G192*VLOOKUP("b28",Precios!$A:$C,3,FALSE),0),0)</f>
        <v/>
      </c>
      <c r="I192" s="7" t="n"/>
      <c r="J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>
        <f>IF(E193="Consumo",IFERROR(D193*VLOOKUP(VLOOKUP(C193,ConfigBuffet!$C:$D,2,FALSE),Precios!$A:$C,3,FALSE)*VLOOKUP(C193,ConfigBuffet!$C:$F,4,FALSE),0)+IFERROR(F193*VLOOKUP("b06",Precios!$A:$C,3,FALSE),0)+IFERROR(G193*VLOOKUP("b28",Precios!$A:$C,3,FALSE),0),0)</f>
        <v/>
      </c>
      <c r="I193" s="7" t="n"/>
      <c r="J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>
        <f>IF(E194="Consumo",IFERROR(D194*VLOOKUP(VLOOKUP(C194,ConfigBuffet!$C:$D,2,FALSE),Precios!$A:$C,3,FALSE)*VLOOKUP(C194,ConfigBuffet!$C:$F,4,FALSE),0)+IFERROR(F194*VLOOKUP("b06",Precios!$A:$C,3,FALSE),0)+IFERROR(G194*VLOOKUP("b28",Precios!$A:$C,3,FALSE),0),0)</f>
        <v/>
      </c>
      <c r="I194" s="7" t="n"/>
      <c r="J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>
        <f>IF(E195="Consumo",IFERROR(D195*VLOOKUP(VLOOKUP(C195,ConfigBuffet!$C:$D,2,FALSE),Precios!$A:$C,3,FALSE)*VLOOKUP(C195,ConfigBuffet!$C:$F,4,FALSE),0)+IFERROR(F195*VLOOKUP("b06",Precios!$A:$C,3,FALSE),0)+IFERROR(G195*VLOOKUP("b28",Precios!$A:$C,3,FALSE),0),0)</f>
        <v/>
      </c>
      <c r="I195" s="7" t="n"/>
      <c r="J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>
        <f>IF(E196="Consumo",IFERROR(D196*VLOOKUP(VLOOKUP(C196,ConfigBuffet!$C:$D,2,FALSE),Precios!$A:$C,3,FALSE)*VLOOKUP(C196,ConfigBuffet!$C:$F,4,FALSE),0)+IFERROR(F196*VLOOKUP("b06",Precios!$A:$C,3,FALSE),0)+IFERROR(G196*VLOOKUP("b28",Precios!$A:$C,3,FALSE),0),0)</f>
        <v/>
      </c>
      <c r="I196" s="7" t="n"/>
      <c r="J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>
        <f>IF(E197="Consumo",IFERROR(D197*VLOOKUP(VLOOKUP(C197,ConfigBuffet!$C:$D,2,FALSE),Precios!$A:$C,3,FALSE)*VLOOKUP(C197,ConfigBuffet!$C:$F,4,FALSE),0)+IFERROR(F197*VLOOKUP("b06",Precios!$A:$C,3,FALSE),0)+IFERROR(G197*VLOOKUP("b28",Precios!$A:$C,3,FALSE),0),0)</f>
        <v/>
      </c>
      <c r="I197" s="7" t="n"/>
      <c r="J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>
        <f>IF(E198="Consumo",IFERROR(D198*VLOOKUP(VLOOKUP(C198,ConfigBuffet!$C:$D,2,FALSE),Precios!$A:$C,3,FALSE)*VLOOKUP(C198,ConfigBuffet!$C:$F,4,FALSE),0)+IFERROR(F198*VLOOKUP("b06",Precios!$A:$C,3,FALSE),0)+IFERROR(G198*VLOOKUP("b28",Precios!$A:$C,3,FALSE),0),0)</f>
        <v/>
      </c>
      <c r="I198" s="7" t="n"/>
      <c r="J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>
        <f>IF(E199="Consumo",IFERROR(D199*VLOOKUP(VLOOKUP(C199,ConfigBuffet!$C:$D,2,FALSE),Precios!$A:$C,3,FALSE)*VLOOKUP(C199,ConfigBuffet!$C:$F,4,FALSE),0)+IFERROR(F199*VLOOKUP("b06",Precios!$A:$C,3,FALSE),0)+IFERROR(G199*VLOOKUP("b28",Precios!$A:$C,3,FALSE),0),0)</f>
        <v/>
      </c>
      <c r="I199" s="7" t="n"/>
      <c r="J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>
        <f>IF(E200="Consumo",IFERROR(D200*VLOOKUP(VLOOKUP(C200,ConfigBuffet!$C:$D,2,FALSE),Precios!$A:$C,3,FALSE)*VLOOKUP(C200,ConfigBuffet!$C:$F,4,FALSE),0)+IFERROR(F200*VLOOKUP("b06",Precios!$A:$C,3,FALSE),0)+IFERROR(G200*VLOOKUP("b28",Precios!$A:$C,3,FALSE),0),0)</f>
        <v/>
      </c>
      <c r="I200" s="7" t="n"/>
      <c r="J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>
        <f>IF(E201="Consumo",IFERROR(D201*VLOOKUP(VLOOKUP(C201,ConfigBuffet!$C:$D,2,FALSE),Precios!$A:$C,3,FALSE)*VLOOKUP(C201,ConfigBuffet!$C:$F,4,FALSE),0)+IFERROR(F201*VLOOKUP("b06",Precios!$A:$C,3,FALSE),0)+IFERROR(G201*VLOOKUP("b28",Precios!$A:$C,3,FALSE),0),0)</f>
        <v/>
      </c>
      <c r="I201" s="7" t="n"/>
      <c r="J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>
        <f>IF(E202="Consumo",IFERROR(D202*VLOOKUP(VLOOKUP(C202,ConfigBuffet!$C:$D,2,FALSE),Precios!$A:$C,3,FALSE)*VLOOKUP(C202,ConfigBuffet!$C:$F,4,FALSE),0)+IFERROR(F202*VLOOKUP("b06",Precios!$A:$C,3,FALSE),0)+IFERROR(G202*VLOOKUP("b28",Precios!$A:$C,3,FALSE),0),0)</f>
        <v/>
      </c>
      <c r="I202" s="7" t="n"/>
      <c r="J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>
        <f>IF(E203="Consumo",IFERROR(D203*VLOOKUP(VLOOKUP(C203,ConfigBuffet!$C:$D,2,FALSE),Precios!$A:$C,3,FALSE)*VLOOKUP(C203,ConfigBuffet!$C:$F,4,FALSE),0)+IFERROR(F203*VLOOKUP("b06",Precios!$A:$C,3,FALSE),0)+IFERROR(G203*VLOOKUP("b28",Precios!$A:$C,3,FALSE),0),0)</f>
        <v/>
      </c>
      <c r="I203" s="7" t="n"/>
      <c r="J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>
        <f>IF(E204="Consumo",IFERROR(D204*VLOOKUP(VLOOKUP(C204,ConfigBuffet!$C:$D,2,FALSE),Precios!$A:$C,3,FALSE)*VLOOKUP(C204,ConfigBuffet!$C:$F,4,FALSE),0)+IFERROR(F204*VLOOKUP("b06",Precios!$A:$C,3,FALSE),0)+IFERROR(G204*VLOOKUP("b28",Precios!$A:$C,3,FALSE),0),0)</f>
        <v/>
      </c>
      <c r="I204" s="7" t="n"/>
      <c r="J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>
        <f>IF(E205="Consumo",IFERROR(D205*VLOOKUP(VLOOKUP(C205,ConfigBuffet!$C:$D,2,FALSE),Precios!$A:$C,3,FALSE)*VLOOKUP(C205,ConfigBuffet!$C:$F,4,FALSE),0)+IFERROR(F205*VLOOKUP("b06",Precios!$A:$C,3,FALSE),0)+IFERROR(G205*VLOOKUP("b28",Precios!$A:$C,3,FALSE),0),0)</f>
        <v/>
      </c>
      <c r="I205" s="7" t="n"/>
      <c r="J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>
        <f>IF(E206="Consumo",IFERROR(D206*VLOOKUP(VLOOKUP(C206,ConfigBuffet!$C:$D,2,FALSE),Precios!$A:$C,3,FALSE)*VLOOKUP(C206,ConfigBuffet!$C:$F,4,FALSE),0)+IFERROR(F206*VLOOKUP("b06",Precios!$A:$C,3,FALSE),0)+IFERROR(G206*VLOOKUP("b28",Precios!$A:$C,3,FALSE),0),0)</f>
        <v/>
      </c>
      <c r="I206" s="7" t="n"/>
      <c r="J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>
        <f>IF(E207="Consumo",IFERROR(D207*VLOOKUP(VLOOKUP(C207,ConfigBuffet!$C:$D,2,FALSE),Precios!$A:$C,3,FALSE)*VLOOKUP(C207,ConfigBuffet!$C:$F,4,FALSE),0)+IFERROR(F207*VLOOKUP("b06",Precios!$A:$C,3,FALSE),0)+IFERROR(G207*VLOOKUP("b28",Precios!$A:$C,3,FALSE),0),0)</f>
        <v/>
      </c>
      <c r="I207" s="7" t="n"/>
      <c r="J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>
        <f>IF(E208="Consumo",IFERROR(D208*VLOOKUP(VLOOKUP(C208,ConfigBuffet!$C:$D,2,FALSE),Precios!$A:$C,3,FALSE)*VLOOKUP(C208,ConfigBuffet!$C:$F,4,FALSE),0)+IFERROR(F208*VLOOKUP("b06",Precios!$A:$C,3,FALSE),0)+IFERROR(G208*VLOOKUP("b28",Precios!$A:$C,3,FALSE),0),0)</f>
        <v/>
      </c>
      <c r="I208" s="7" t="n"/>
      <c r="J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>
        <f>IF(E209="Consumo",IFERROR(D209*VLOOKUP(VLOOKUP(C209,ConfigBuffet!$C:$D,2,FALSE),Precios!$A:$C,3,FALSE)*VLOOKUP(C209,ConfigBuffet!$C:$F,4,FALSE),0)+IFERROR(F209*VLOOKUP("b06",Precios!$A:$C,3,FALSE),0)+IFERROR(G209*VLOOKUP("b28",Precios!$A:$C,3,FALSE),0),0)</f>
        <v/>
      </c>
      <c r="I209" s="7" t="n"/>
      <c r="J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>
        <f>IF(E210="Consumo",IFERROR(D210*VLOOKUP(VLOOKUP(C210,ConfigBuffet!$C:$D,2,FALSE),Precios!$A:$C,3,FALSE)*VLOOKUP(C210,ConfigBuffet!$C:$F,4,FALSE),0)+IFERROR(F210*VLOOKUP("b06",Precios!$A:$C,3,FALSE),0)+IFERROR(G210*VLOOKUP("b28",Precios!$A:$C,3,FALSE),0),0)</f>
        <v/>
      </c>
      <c r="I210" s="7" t="n"/>
      <c r="J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>
        <f>IF(E211="Consumo",IFERROR(D211*VLOOKUP(VLOOKUP(C211,ConfigBuffet!$C:$D,2,FALSE),Precios!$A:$C,3,FALSE)*VLOOKUP(C211,ConfigBuffet!$C:$F,4,FALSE),0)+IFERROR(F211*VLOOKUP("b06",Precios!$A:$C,3,FALSE),0)+IFERROR(G211*VLOOKUP("b28",Precios!$A:$C,3,FALSE),0),0)</f>
        <v/>
      </c>
      <c r="I211" s="7" t="n"/>
      <c r="J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>
        <f>IF(E212="Consumo",IFERROR(D212*VLOOKUP(VLOOKUP(C212,ConfigBuffet!$C:$D,2,FALSE),Precios!$A:$C,3,FALSE)*VLOOKUP(C212,ConfigBuffet!$C:$F,4,FALSE),0)+IFERROR(F212*VLOOKUP("b06",Precios!$A:$C,3,FALSE),0)+IFERROR(G212*VLOOKUP("b28",Precios!$A:$C,3,FALSE),0),0)</f>
        <v/>
      </c>
      <c r="I212" s="7" t="n"/>
      <c r="J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>
        <f>IF(E213="Consumo",IFERROR(D213*VLOOKUP(VLOOKUP(C213,ConfigBuffet!$C:$D,2,FALSE),Precios!$A:$C,3,FALSE)*VLOOKUP(C213,ConfigBuffet!$C:$F,4,FALSE),0)+IFERROR(F213*VLOOKUP("b06",Precios!$A:$C,3,FALSE),0)+IFERROR(G213*VLOOKUP("b28",Precios!$A:$C,3,FALSE),0),0)</f>
        <v/>
      </c>
      <c r="I213" s="7" t="n"/>
      <c r="J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>
        <f>IF(E214="Consumo",IFERROR(D214*VLOOKUP(VLOOKUP(C214,ConfigBuffet!$C:$D,2,FALSE),Precios!$A:$C,3,FALSE)*VLOOKUP(C214,ConfigBuffet!$C:$F,4,FALSE),0)+IFERROR(F214*VLOOKUP("b06",Precios!$A:$C,3,FALSE),0)+IFERROR(G214*VLOOKUP("b28",Precios!$A:$C,3,FALSE),0),0)</f>
        <v/>
      </c>
      <c r="I214" s="7" t="n"/>
      <c r="J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>
        <f>IF(E215="Consumo",IFERROR(D215*VLOOKUP(VLOOKUP(C215,ConfigBuffet!$C:$D,2,FALSE),Precios!$A:$C,3,FALSE)*VLOOKUP(C215,ConfigBuffet!$C:$F,4,FALSE),0)+IFERROR(F215*VLOOKUP("b06",Precios!$A:$C,3,FALSE),0)+IFERROR(G215*VLOOKUP("b28",Precios!$A:$C,3,FALSE),0),0)</f>
        <v/>
      </c>
      <c r="I215" s="7" t="n"/>
      <c r="J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>
        <f>IF(E216="Consumo",IFERROR(D216*VLOOKUP(VLOOKUP(C216,ConfigBuffet!$C:$D,2,FALSE),Precios!$A:$C,3,FALSE)*VLOOKUP(C216,ConfigBuffet!$C:$F,4,FALSE),0)+IFERROR(F216*VLOOKUP("b06",Precios!$A:$C,3,FALSE),0)+IFERROR(G216*VLOOKUP("b28",Precios!$A:$C,3,FALSE),0),0)</f>
        <v/>
      </c>
      <c r="I216" s="7" t="n"/>
      <c r="J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>
        <f>IF(E217="Consumo",IFERROR(D217*VLOOKUP(VLOOKUP(C217,ConfigBuffet!$C:$D,2,FALSE),Precios!$A:$C,3,FALSE)*VLOOKUP(C217,ConfigBuffet!$C:$F,4,FALSE),0)+IFERROR(F217*VLOOKUP("b06",Precios!$A:$C,3,FALSE),0)+IFERROR(G217*VLOOKUP("b28",Precios!$A:$C,3,FALSE),0),0)</f>
        <v/>
      </c>
      <c r="I217" s="7" t="n"/>
      <c r="J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>
        <f>IF(E218="Consumo",IFERROR(D218*VLOOKUP(VLOOKUP(C218,ConfigBuffet!$C:$D,2,FALSE),Precios!$A:$C,3,FALSE)*VLOOKUP(C218,ConfigBuffet!$C:$F,4,FALSE),0)+IFERROR(F218*VLOOKUP("b06",Precios!$A:$C,3,FALSE),0)+IFERROR(G218*VLOOKUP("b28",Precios!$A:$C,3,FALSE),0),0)</f>
        <v/>
      </c>
      <c r="I218" s="7" t="n"/>
      <c r="J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>
        <f>IF(E219="Consumo",IFERROR(D219*VLOOKUP(VLOOKUP(C219,ConfigBuffet!$C:$D,2,FALSE),Precios!$A:$C,3,FALSE)*VLOOKUP(C219,ConfigBuffet!$C:$F,4,FALSE),0)+IFERROR(F219*VLOOKUP("b06",Precios!$A:$C,3,FALSE),0)+IFERROR(G219*VLOOKUP("b28",Precios!$A:$C,3,FALSE),0),0)</f>
        <v/>
      </c>
      <c r="I219" s="7" t="n"/>
      <c r="J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>
        <f>IF(E220="Consumo",IFERROR(D220*VLOOKUP(VLOOKUP(C220,ConfigBuffet!$C:$D,2,FALSE),Precios!$A:$C,3,FALSE)*VLOOKUP(C220,ConfigBuffet!$C:$F,4,FALSE),0)+IFERROR(F220*VLOOKUP("b06",Precios!$A:$C,3,FALSE),0)+IFERROR(G220*VLOOKUP("b28",Precios!$A:$C,3,FALSE),0),0)</f>
        <v/>
      </c>
      <c r="I220" s="7" t="n"/>
      <c r="J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>
        <f>IF(E221="Consumo",IFERROR(D221*VLOOKUP(VLOOKUP(C221,ConfigBuffet!$C:$D,2,FALSE),Precios!$A:$C,3,FALSE)*VLOOKUP(C221,ConfigBuffet!$C:$F,4,FALSE),0)+IFERROR(F221*VLOOKUP("b06",Precios!$A:$C,3,FALSE),0)+IFERROR(G221*VLOOKUP("b28",Precios!$A:$C,3,FALSE),0),0)</f>
        <v/>
      </c>
      <c r="I221" s="7" t="n"/>
      <c r="J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>
        <f>IF(E222="Consumo",IFERROR(D222*VLOOKUP(VLOOKUP(C222,ConfigBuffet!$C:$D,2,FALSE),Precios!$A:$C,3,FALSE)*VLOOKUP(C222,ConfigBuffet!$C:$F,4,FALSE),0)+IFERROR(F222*VLOOKUP("b06",Precios!$A:$C,3,FALSE),0)+IFERROR(G222*VLOOKUP("b28",Precios!$A:$C,3,FALSE),0),0)</f>
        <v/>
      </c>
      <c r="I222" s="7" t="n"/>
      <c r="J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>
        <f>IF(E223="Consumo",IFERROR(D223*VLOOKUP(VLOOKUP(C223,ConfigBuffet!$C:$D,2,FALSE),Precios!$A:$C,3,FALSE)*VLOOKUP(C223,ConfigBuffet!$C:$F,4,FALSE),0)+IFERROR(F223*VLOOKUP("b06",Precios!$A:$C,3,FALSE),0)+IFERROR(G223*VLOOKUP("b28",Precios!$A:$C,3,FALSE),0),0)</f>
        <v/>
      </c>
      <c r="I223" s="7" t="n"/>
      <c r="J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>
        <f>IF(E224="Consumo",IFERROR(D224*VLOOKUP(VLOOKUP(C224,ConfigBuffet!$C:$D,2,FALSE),Precios!$A:$C,3,FALSE)*VLOOKUP(C224,ConfigBuffet!$C:$F,4,FALSE),0)+IFERROR(F224*VLOOKUP("b06",Precios!$A:$C,3,FALSE),0)+IFERROR(G224*VLOOKUP("b28",Precios!$A:$C,3,FALSE),0),0)</f>
        <v/>
      </c>
      <c r="I224" s="7" t="n"/>
      <c r="J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>
        <f>IF(E225="Consumo",IFERROR(D225*VLOOKUP(VLOOKUP(C225,ConfigBuffet!$C:$D,2,FALSE),Precios!$A:$C,3,FALSE)*VLOOKUP(C225,ConfigBuffet!$C:$F,4,FALSE),0)+IFERROR(F225*VLOOKUP("b06",Precios!$A:$C,3,FALSE),0)+IFERROR(G225*VLOOKUP("b28",Precios!$A:$C,3,FALSE),0),0)</f>
        <v/>
      </c>
      <c r="I225" s="7" t="n"/>
      <c r="J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>
        <f>IF(E226="Consumo",IFERROR(D226*VLOOKUP(VLOOKUP(C226,ConfigBuffet!$C:$D,2,FALSE),Precios!$A:$C,3,FALSE)*VLOOKUP(C226,ConfigBuffet!$C:$F,4,FALSE),0)+IFERROR(F226*VLOOKUP("b06",Precios!$A:$C,3,FALSE),0)+IFERROR(G226*VLOOKUP("b28",Precios!$A:$C,3,FALSE),0),0)</f>
        <v/>
      </c>
      <c r="I226" s="7" t="n"/>
      <c r="J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>
        <f>IF(E227="Consumo",IFERROR(D227*VLOOKUP(VLOOKUP(C227,ConfigBuffet!$C:$D,2,FALSE),Precios!$A:$C,3,FALSE)*VLOOKUP(C227,ConfigBuffet!$C:$F,4,FALSE),0)+IFERROR(F227*VLOOKUP("b06",Precios!$A:$C,3,FALSE),0)+IFERROR(G227*VLOOKUP("b28",Precios!$A:$C,3,FALSE),0),0)</f>
        <v/>
      </c>
      <c r="I227" s="7" t="n"/>
      <c r="J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>
        <f>IF(E228="Consumo",IFERROR(D228*VLOOKUP(VLOOKUP(C228,ConfigBuffet!$C:$D,2,FALSE),Precios!$A:$C,3,FALSE)*VLOOKUP(C228,ConfigBuffet!$C:$F,4,FALSE),0)+IFERROR(F228*VLOOKUP("b06",Precios!$A:$C,3,FALSE),0)+IFERROR(G228*VLOOKUP("b28",Precios!$A:$C,3,FALSE),0),0)</f>
        <v/>
      </c>
      <c r="I228" s="7" t="n"/>
      <c r="J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>
        <f>IF(E229="Consumo",IFERROR(D229*VLOOKUP(VLOOKUP(C229,ConfigBuffet!$C:$D,2,FALSE),Precios!$A:$C,3,FALSE)*VLOOKUP(C229,ConfigBuffet!$C:$F,4,FALSE),0)+IFERROR(F229*VLOOKUP("b06",Precios!$A:$C,3,FALSE),0)+IFERROR(G229*VLOOKUP("b28",Precios!$A:$C,3,FALSE),0),0)</f>
        <v/>
      </c>
      <c r="I229" s="7" t="n"/>
      <c r="J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>
        <f>IF(E230="Consumo",IFERROR(D230*VLOOKUP(VLOOKUP(C230,ConfigBuffet!$C:$D,2,FALSE),Precios!$A:$C,3,FALSE)*VLOOKUP(C230,ConfigBuffet!$C:$F,4,FALSE),0)+IFERROR(F230*VLOOKUP("b06",Precios!$A:$C,3,FALSE),0)+IFERROR(G230*VLOOKUP("b28",Precios!$A:$C,3,FALSE),0),0)</f>
        <v/>
      </c>
      <c r="I230" s="7" t="n"/>
      <c r="J230" s="7" t="n"/>
    </row>
    <row r="231">
      <c r="A231" s="7" t="n"/>
      <c r="B231" s="7" t="n"/>
      <c r="C231" s="7" t="n"/>
      <c r="D231" s="7" t="n"/>
      <c r="E231" s="7" t="n"/>
      <c r="F231" s="7" t="n"/>
      <c r="G231" s="7" t="inlineStr">
        <is>
          <t>TOTAL</t>
        </is>
      </c>
      <c r="H231" s="7">
        <f>SUM(H2:H231)</f>
        <v/>
      </c>
      <c r="I231" s="7" t="n"/>
      <c r="J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>
        <f>IF(E232="Consumo",IFERROR(D232*VLOOKUP(VLOOKUP(C232,ConfigBuffet!$C:$D,2,FALSE),Precios!$A:$C,3,FALSE)*VLOOKUP(C232,ConfigBuffet!$C:$F,4,FALSE),0)+IFERROR(F232*VLOOKUP("b06",Precios!$A:$C,3,FALSE),0)+IFERROR(G232*VLOOKUP("b28",Precios!$A:$C,3,FALSE),0),0)</f>
        <v/>
      </c>
      <c r="I232" s="7" t="n"/>
      <c r="J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>
        <f>IF(E233="Consumo",IFERROR(D233*VLOOKUP(VLOOKUP(C233,ConfigBuffet!$C:$D,2,FALSE),Precios!$A:$C,3,FALSE)*VLOOKUP(C233,ConfigBuffet!$C:$F,4,FALSE),0)+IFERROR(F233*VLOOKUP("b06",Precios!$A:$C,3,FALSE),0)+IFERROR(G233*VLOOKUP("b28",Precios!$A:$C,3,FALSE),0),0)</f>
        <v/>
      </c>
      <c r="I233" s="7" t="n"/>
      <c r="J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>
        <f>IF(E234="Consumo",IFERROR(D234*VLOOKUP(VLOOKUP(C234,ConfigBuffet!$C:$D,2,FALSE),Precios!$A:$C,3,FALSE)*VLOOKUP(C234,ConfigBuffet!$C:$F,4,FALSE),0)+IFERROR(F234*VLOOKUP("b06",Precios!$A:$C,3,FALSE),0)+IFERROR(G234*VLOOKUP("b28",Precios!$A:$C,3,FALSE),0),0)</f>
        <v/>
      </c>
      <c r="I234" s="7" t="n"/>
      <c r="J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>
        <f>IF(E235="Consumo",IFERROR(D235*VLOOKUP(VLOOKUP(C235,ConfigBuffet!$C:$D,2,FALSE),Precios!$A:$C,3,FALSE)*VLOOKUP(C235,ConfigBuffet!$C:$F,4,FALSE),0)+IFERROR(F235*VLOOKUP("b06",Precios!$A:$C,3,FALSE),0)+IFERROR(G235*VLOOKUP("b28",Precios!$A:$C,3,FALSE),0),0)</f>
        <v/>
      </c>
      <c r="I235" s="7" t="n"/>
      <c r="J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>
        <f>IF(E236="Consumo",IFERROR(D236*VLOOKUP(VLOOKUP(C236,ConfigBuffet!$C:$D,2,FALSE),Precios!$A:$C,3,FALSE)*VLOOKUP(C236,ConfigBuffet!$C:$F,4,FALSE),0)+IFERROR(F236*VLOOKUP("b06",Precios!$A:$C,3,FALSE),0)+IFERROR(G236*VLOOKUP("b28",Precios!$A:$C,3,FALSE),0),0)</f>
        <v/>
      </c>
      <c r="I236" s="7" t="n"/>
      <c r="J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>
        <f>IF(E237="Consumo",IFERROR(D237*VLOOKUP(VLOOKUP(C237,ConfigBuffet!$C:$D,2,FALSE),Precios!$A:$C,3,FALSE)*VLOOKUP(C237,ConfigBuffet!$C:$F,4,FALSE),0)+IFERROR(F237*VLOOKUP("b06",Precios!$A:$C,3,FALSE),0)+IFERROR(G237*VLOOKUP("b28",Precios!$A:$C,3,FALSE),0),0)</f>
        <v/>
      </c>
      <c r="I237" s="7" t="n"/>
      <c r="J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>
        <f>IF(E238="Consumo",IFERROR(D238*VLOOKUP(VLOOKUP(C238,ConfigBuffet!$C:$D,2,FALSE),Precios!$A:$C,3,FALSE)*VLOOKUP(C238,ConfigBuffet!$C:$F,4,FALSE),0)+IFERROR(F238*VLOOKUP("b06",Precios!$A:$C,3,FALSE),0)+IFERROR(G238*VLOOKUP("b28",Precios!$A:$C,3,FALSE),0),0)</f>
        <v/>
      </c>
      <c r="I238" s="7" t="n"/>
      <c r="J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>
        <f>IF(E239="Consumo",IFERROR(D239*VLOOKUP(VLOOKUP(C239,ConfigBuffet!$C:$D,2,FALSE),Precios!$A:$C,3,FALSE)*VLOOKUP(C239,ConfigBuffet!$C:$F,4,FALSE),0)+IFERROR(F239*VLOOKUP("b06",Precios!$A:$C,3,FALSE),0)+IFERROR(G239*VLOOKUP("b28",Precios!$A:$C,3,FALSE),0),0)</f>
        <v/>
      </c>
      <c r="I239" s="7" t="n"/>
      <c r="J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>
        <f>IF(E240="Consumo",IFERROR(D240*VLOOKUP(VLOOKUP(C240,ConfigBuffet!$C:$D,2,FALSE),Precios!$A:$C,3,FALSE)*VLOOKUP(C240,ConfigBuffet!$C:$F,4,FALSE),0)+IFERROR(F240*VLOOKUP("b06",Precios!$A:$C,3,FALSE),0)+IFERROR(G240*VLOOKUP("b28",Precios!$A:$C,3,FALSE),0),0)</f>
        <v/>
      </c>
      <c r="I240" s="7" t="n"/>
      <c r="J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>
        <f>IF(E241="Consumo",IFERROR(D241*VLOOKUP(VLOOKUP(C241,ConfigBuffet!$C:$D,2,FALSE),Precios!$A:$C,3,FALSE)*VLOOKUP(C241,ConfigBuffet!$C:$F,4,FALSE),0)+IFERROR(F241*VLOOKUP("b06",Precios!$A:$C,3,FALSE),0)+IFERROR(G241*VLOOKUP("b28",Precios!$A:$C,3,FALSE),0),0)</f>
        <v/>
      </c>
      <c r="I241" s="7" t="n"/>
      <c r="J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>
        <f>IF(E242="Consumo",IFERROR(D242*VLOOKUP(VLOOKUP(C242,ConfigBuffet!$C:$D,2,FALSE),Precios!$A:$C,3,FALSE)*VLOOKUP(C242,ConfigBuffet!$C:$F,4,FALSE),0)+IFERROR(F242*VLOOKUP("b06",Precios!$A:$C,3,FALSE),0)+IFERROR(G242*VLOOKUP("b28",Precios!$A:$C,3,FALSE),0),0)</f>
        <v/>
      </c>
      <c r="I242" s="7" t="n"/>
      <c r="J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>
        <f>IF(E243="Consumo",IFERROR(D243*VLOOKUP(VLOOKUP(C243,ConfigBuffet!$C:$D,2,FALSE),Precios!$A:$C,3,FALSE)*VLOOKUP(C243,ConfigBuffet!$C:$F,4,FALSE),0)+IFERROR(F243*VLOOKUP("b06",Precios!$A:$C,3,FALSE),0)+IFERROR(G243*VLOOKUP("b28",Precios!$A:$C,3,FALSE),0),0)</f>
        <v/>
      </c>
      <c r="I243" s="7" t="n"/>
      <c r="J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>
        <f>IF(E244="Consumo",IFERROR(D244*VLOOKUP(VLOOKUP(C244,ConfigBuffet!$C:$D,2,FALSE),Precios!$A:$C,3,FALSE)*VLOOKUP(C244,ConfigBuffet!$C:$F,4,FALSE),0)+IFERROR(F244*VLOOKUP("b06",Precios!$A:$C,3,FALSE),0)+IFERROR(G244*VLOOKUP("b28",Precios!$A:$C,3,FALSE),0),0)</f>
        <v/>
      </c>
      <c r="I244" s="7" t="n"/>
      <c r="J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>
        <f>IF(E245="Consumo",IFERROR(D245*VLOOKUP(VLOOKUP(C245,ConfigBuffet!$C:$D,2,FALSE),Precios!$A:$C,3,FALSE)*VLOOKUP(C245,ConfigBuffet!$C:$F,4,FALSE),0)+IFERROR(F245*VLOOKUP("b06",Precios!$A:$C,3,FALSE),0)+IFERROR(G245*VLOOKUP("b28",Precios!$A:$C,3,FALSE),0),0)</f>
        <v/>
      </c>
      <c r="I245" s="7" t="n"/>
      <c r="J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>
        <f>IF(E246="Consumo",IFERROR(D246*VLOOKUP(VLOOKUP(C246,ConfigBuffet!$C:$D,2,FALSE),Precios!$A:$C,3,FALSE)*VLOOKUP(C246,ConfigBuffet!$C:$F,4,FALSE),0)+IFERROR(F246*VLOOKUP("b06",Precios!$A:$C,3,FALSE),0)+IFERROR(G246*VLOOKUP("b28",Precios!$A:$C,3,FALSE),0),0)</f>
        <v/>
      </c>
      <c r="I246" s="7" t="n"/>
      <c r="J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>
        <f>IF(E247="Consumo",IFERROR(D247*VLOOKUP(VLOOKUP(C247,ConfigBuffet!$C:$D,2,FALSE),Precios!$A:$C,3,FALSE)*VLOOKUP(C247,ConfigBuffet!$C:$F,4,FALSE),0)+IFERROR(F247*VLOOKUP("b06",Precios!$A:$C,3,FALSE),0)+IFERROR(G247*VLOOKUP("b28",Precios!$A:$C,3,FALSE),0),0)</f>
        <v/>
      </c>
      <c r="I247" s="7" t="n"/>
      <c r="J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>
        <f>IF(E248="Consumo",IFERROR(D248*VLOOKUP(VLOOKUP(C248,ConfigBuffet!$C:$D,2,FALSE),Precios!$A:$C,3,FALSE)*VLOOKUP(C248,ConfigBuffet!$C:$F,4,FALSE),0)+IFERROR(F248*VLOOKUP("b06",Precios!$A:$C,3,FALSE),0)+IFERROR(G248*VLOOKUP("b28",Precios!$A:$C,3,FALSE),0),0)</f>
        <v/>
      </c>
      <c r="I248" s="7" t="n"/>
      <c r="J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>
        <f>IF(E249="Consumo",IFERROR(D249*VLOOKUP(VLOOKUP(C249,ConfigBuffet!$C:$D,2,FALSE),Precios!$A:$C,3,FALSE)*VLOOKUP(C249,ConfigBuffet!$C:$F,4,FALSE),0)+IFERROR(F249*VLOOKUP("b06",Precios!$A:$C,3,FALSE),0)+IFERROR(G249*VLOOKUP("b28",Precios!$A:$C,3,FALSE),0),0)</f>
        <v/>
      </c>
      <c r="I249" s="7" t="n"/>
      <c r="J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>
        <f>IF(E250="Consumo",IFERROR(D250*VLOOKUP(VLOOKUP(C250,ConfigBuffet!$C:$D,2,FALSE),Precios!$A:$C,3,FALSE)*VLOOKUP(C250,ConfigBuffet!$C:$F,4,FALSE),0)+IFERROR(F250*VLOOKUP("b06",Precios!$A:$C,3,FALSE),0)+IFERROR(G250*VLOOKUP("b28",Precios!$A:$C,3,FALSE),0),0)</f>
        <v/>
      </c>
      <c r="I250" s="7" t="n"/>
      <c r="J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>
        <f>IF(E251="Consumo",IFERROR(D251*VLOOKUP(VLOOKUP(C251,ConfigBuffet!$C:$D,2,FALSE),Precios!$A:$C,3,FALSE)*VLOOKUP(C251,ConfigBuffet!$C:$F,4,FALSE),0)+IFERROR(F251*VLOOKUP("b06",Precios!$A:$C,3,FALSE),0)+IFERROR(G251*VLOOKUP("b28",Precios!$A:$C,3,FALSE),0),0)</f>
        <v/>
      </c>
      <c r="I251" s="7" t="n"/>
      <c r="J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>
        <f>IF(E252="Consumo",IFERROR(D252*VLOOKUP(VLOOKUP(C252,ConfigBuffet!$C:$D,2,FALSE),Precios!$A:$C,3,FALSE)*VLOOKUP(C252,ConfigBuffet!$C:$F,4,FALSE),0)+IFERROR(F252*VLOOKUP("b06",Precios!$A:$C,3,FALSE),0)+IFERROR(G252*VLOOKUP("b28",Precios!$A:$C,3,FALSE),0),0)</f>
        <v/>
      </c>
      <c r="I252" s="7" t="n"/>
      <c r="J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>
        <f>IF(E253="Consumo",IFERROR(D253*VLOOKUP(VLOOKUP(C253,ConfigBuffet!$C:$D,2,FALSE),Precios!$A:$C,3,FALSE)*VLOOKUP(C253,ConfigBuffet!$C:$F,4,FALSE),0)+IFERROR(F253*VLOOKUP("b06",Precios!$A:$C,3,FALSE),0)+IFERROR(G253*VLOOKUP("b28",Precios!$A:$C,3,FALSE),0),0)</f>
        <v/>
      </c>
      <c r="I253" s="7" t="n"/>
      <c r="J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>
        <f>IF(E254="Consumo",IFERROR(D254*VLOOKUP(VLOOKUP(C254,ConfigBuffet!$C:$D,2,FALSE),Precios!$A:$C,3,FALSE)*VLOOKUP(C254,ConfigBuffet!$C:$F,4,FALSE),0)+IFERROR(F254*VLOOKUP("b06",Precios!$A:$C,3,FALSE),0)+IFERROR(G254*VLOOKUP("b28",Precios!$A:$C,3,FALSE),0),0)</f>
        <v/>
      </c>
      <c r="I254" s="7" t="n"/>
      <c r="J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>
        <f>IF(E255="Consumo",IFERROR(D255*VLOOKUP(VLOOKUP(C255,ConfigBuffet!$C:$D,2,FALSE),Precios!$A:$C,3,FALSE)*VLOOKUP(C255,ConfigBuffet!$C:$F,4,FALSE),0)+IFERROR(F255*VLOOKUP("b06",Precios!$A:$C,3,FALSE),0)+IFERROR(G255*VLOOKUP("b28",Precios!$A:$C,3,FALSE),0),0)</f>
        <v/>
      </c>
      <c r="I255" s="7" t="n"/>
      <c r="J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>
        <f>IF(E256="Consumo",IFERROR(D256*VLOOKUP(VLOOKUP(C256,ConfigBuffet!$C:$D,2,FALSE),Precios!$A:$C,3,FALSE)*VLOOKUP(C256,ConfigBuffet!$C:$F,4,FALSE),0)+IFERROR(F256*VLOOKUP("b06",Precios!$A:$C,3,FALSE),0)+IFERROR(G256*VLOOKUP("b28",Precios!$A:$C,3,FALSE),0),0)</f>
        <v/>
      </c>
      <c r="I256" s="7" t="n"/>
      <c r="J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>
        <f>IF(E257="Consumo",IFERROR(D257*VLOOKUP(VLOOKUP(C257,ConfigBuffet!$C:$D,2,FALSE),Precios!$A:$C,3,FALSE)*VLOOKUP(C257,ConfigBuffet!$C:$F,4,FALSE),0)+IFERROR(F257*VLOOKUP("b06",Precios!$A:$C,3,FALSE),0)+IFERROR(G257*VLOOKUP("b28",Precios!$A:$C,3,FALSE),0),0)</f>
        <v/>
      </c>
      <c r="I257" s="7" t="n"/>
      <c r="J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>
        <f>IF(E258="Consumo",IFERROR(D258*VLOOKUP(VLOOKUP(C258,ConfigBuffet!$C:$D,2,FALSE),Precios!$A:$C,3,FALSE)*VLOOKUP(C258,ConfigBuffet!$C:$F,4,FALSE),0)+IFERROR(F258*VLOOKUP("b06",Precios!$A:$C,3,FALSE),0)+IFERROR(G258*VLOOKUP("b28",Precios!$A:$C,3,FALSE),0),0)</f>
        <v/>
      </c>
      <c r="I258" s="7" t="n"/>
      <c r="J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>
        <f>IF(E259="Consumo",IFERROR(D259*VLOOKUP(VLOOKUP(C259,ConfigBuffet!$C:$D,2,FALSE),Precios!$A:$C,3,FALSE)*VLOOKUP(C259,ConfigBuffet!$C:$F,4,FALSE),0)+IFERROR(F259*VLOOKUP("b06",Precios!$A:$C,3,FALSE),0)+IFERROR(G259*VLOOKUP("b28",Precios!$A:$C,3,FALSE),0),0)</f>
        <v/>
      </c>
      <c r="I259" s="7" t="n"/>
      <c r="J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>
        <f>IF(E260="Consumo",IFERROR(D260*VLOOKUP(VLOOKUP(C260,ConfigBuffet!$C:$D,2,FALSE),Precios!$A:$C,3,FALSE)*VLOOKUP(C260,ConfigBuffet!$C:$F,4,FALSE),0)+IFERROR(F260*VLOOKUP("b06",Precios!$A:$C,3,FALSE),0)+IFERROR(G260*VLOOKUP("b28",Precios!$A:$C,3,FALSE),0),0)</f>
        <v/>
      </c>
      <c r="I260" s="7" t="n"/>
      <c r="J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>
        <f>IF(E261="Consumo",IFERROR(D261*VLOOKUP(VLOOKUP(C261,ConfigBuffet!$C:$D,2,FALSE),Precios!$A:$C,3,FALSE)*VLOOKUP(C261,ConfigBuffet!$C:$F,4,FALSE),0)+IFERROR(F261*VLOOKUP("b06",Precios!$A:$C,3,FALSE),0)+IFERROR(G261*VLOOKUP("b28",Precios!$A:$C,3,FALSE),0),0)</f>
        <v/>
      </c>
      <c r="I261" s="7" t="n"/>
      <c r="J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>
        <f>IF(E262="Consumo",IFERROR(D262*VLOOKUP(VLOOKUP(C262,ConfigBuffet!$C:$D,2,FALSE),Precios!$A:$C,3,FALSE)*VLOOKUP(C262,ConfigBuffet!$C:$F,4,FALSE),0)+IFERROR(F262*VLOOKUP("b06",Precios!$A:$C,3,FALSE),0)+IFERROR(G262*VLOOKUP("b28",Precios!$A:$C,3,FALSE),0),0)</f>
        <v/>
      </c>
      <c r="I262" s="7" t="n"/>
      <c r="J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>
        <f>IF(E263="Consumo",IFERROR(D263*VLOOKUP(VLOOKUP(C263,ConfigBuffet!$C:$D,2,FALSE),Precios!$A:$C,3,FALSE)*VLOOKUP(C263,ConfigBuffet!$C:$F,4,FALSE),0)+IFERROR(F263*VLOOKUP("b06",Precios!$A:$C,3,FALSE),0)+IFERROR(G263*VLOOKUP("b28",Precios!$A:$C,3,FALSE),0),0)</f>
        <v/>
      </c>
      <c r="I263" s="7" t="n"/>
      <c r="J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>
        <f>IF(E264="Consumo",IFERROR(D264*VLOOKUP(VLOOKUP(C264,ConfigBuffet!$C:$D,2,FALSE),Precios!$A:$C,3,FALSE)*VLOOKUP(C264,ConfigBuffet!$C:$F,4,FALSE),0)+IFERROR(F264*VLOOKUP("b06",Precios!$A:$C,3,FALSE),0)+IFERROR(G264*VLOOKUP("b28",Precios!$A:$C,3,FALSE),0),0)</f>
        <v/>
      </c>
      <c r="I264" s="7" t="n"/>
      <c r="J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>
        <f>IF(E265="Consumo",IFERROR(D265*VLOOKUP(VLOOKUP(C265,ConfigBuffet!$C:$D,2,FALSE),Precios!$A:$C,3,FALSE)*VLOOKUP(C265,ConfigBuffet!$C:$F,4,FALSE),0)+IFERROR(F265*VLOOKUP("b06",Precios!$A:$C,3,FALSE),0)+IFERROR(G265*VLOOKUP("b28",Precios!$A:$C,3,FALSE),0),0)</f>
        <v/>
      </c>
      <c r="I265" s="7" t="n"/>
      <c r="J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>
        <f>IF(E266="Consumo",IFERROR(D266*VLOOKUP(VLOOKUP(C266,ConfigBuffet!$C:$D,2,FALSE),Precios!$A:$C,3,FALSE)*VLOOKUP(C266,ConfigBuffet!$C:$F,4,FALSE),0)+IFERROR(F266*VLOOKUP("b06",Precios!$A:$C,3,FALSE),0)+IFERROR(G266*VLOOKUP("b28",Precios!$A:$C,3,FALSE),0),0)</f>
        <v/>
      </c>
      <c r="I266" s="7" t="n"/>
      <c r="J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>
        <f>IF(E267="Consumo",IFERROR(D267*VLOOKUP(VLOOKUP(C267,ConfigBuffet!$C:$D,2,FALSE),Precios!$A:$C,3,FALSE)*VLOOKUP(C267,ConfigBuffet!$C:$F,4,FALSE),0)+IFERROR(F267*VLOOKUP("b06",Precios!$A:$C,3,FALSE),0)+IFERROR(G267*VLOOKUP("b28",Precios!$A:$C,3,FALSE),0),0)</f>
        <v/>
      </c>
      <c r="I267" s="7" t="n"/>
      <c r="J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>
        <f>IF(E268="Consumo",IFERROR(D268*VLOOKUP(VLOOKUP(C268,ConfigBuffet!$C:$D,2,FALSE),Precios!$A:$C,3,FALSE)*VLOOKUP(C268,ConfigBuffet!$C:$F,4,FALSE),0)+IFERROR(F268*VLOOKUP("b06",Precios!$A:$C,3,FALSE),0)+IFERROR(G268*VLOOKUP("b28",Precios!$A:$C,3,FALSE),0),0)</f>
        <v/>
      </c>
      <c r="I268" s="7" t="n"/>
      <c r="J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>
        <f>IF(E269="Consumo",IFERROR(D269*VLOOKUP(VLOOKUP(C269,ConfigBuffet!$C:$D,2,FALSE),Precios!$A:$C,3,FALSE)*VLOOKUP(C269,ConfigBuffet!$C:$F,4,FALSE),0)+IFERROR(F269*VLOOKUP("b06",Precios!$A:$C,3,FALSE),0)+IFERROR(G269*VLOOKUP("b28",Precios!$A:$C,3,FALSE),0),0)</f>
        <v/>
      </c>
      <c r="I269" s="7" t="n"/>
      <c r="J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>
        <f>IF(E270="Consumo",IFERROR(D270*VLOOKUP(VLOOKUP(C270,ConfigBuffet!$C:$D,2,FALSE),Precios!$A:$C,3,FALSE)*VLOOKUP(C270,ConfigBuffet!$C:$F,4,FALSE),0)+IFERROR(F270*VLOOKUP("b06",Precios!$A:$C,3,FALSE),0)+IFERROR(G270*VLOOKUP("b28",Precios!$A:$C,3,FALSE),0),0)</f>
        <v/>
      </c>
      <c r="I270" s="7" t="n"/>
      <c r="J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>
        <f>IF(E271="Consumo",IFERROR(D271*VLOOKUP(VLOOKUP(C271,ConfigBuffet!$C:$D,2,FALSE),Precios!$A:$C,3,FALSE)*VLOOKUP(C271,ConfigBuffet!$C:$F,4,FALSE),0)+IFERROR(F271*VLOOKUP("b06",Precios!$A:$C,3,FALSE),0)+IFERROR(G271*VLOOKUP("b28",Precios!$A:$C,3,FALSE),0),0)</f>
        <v/>
      </c>
      <c r="I271" s="7" t="n"/>
      <c r="J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>
        <f>IF(E272="Consumo",IFERROR(D272*VLOOKUP(VLOOKUP(C272,ConfigBuffet!$C:$D,2,FALSE),Precios!$A:$C,3,FALSE)*VLOOKUP(C272,ConfigBuffet!$C:$F,4,FALSE),0)+IFERROR(F272*VLOOKUP("b06",Precios!$A:$C,3,FALSE),0)+IFERROR(G272*VLOOKUP("b28",Precios!$A:$C,3,FALSE),0),0)</f>
        <v/>
      </c>
      <c r="I272" s="7" t="n"/>
      <c r="J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>
        <f>IF(E273="Consumo",IFERROR(D273*VLOOKUP(VLOOKUP(C273,ConfigBuffet!$C:$D,2,FALSE),Precios!$A:$C,3,FALSE)*VLOOKUP(C273,ConfigBuffet!$C:$F,4,FALSE),0)+IFERROR(F273*VLOOKUP("b06",Precios!$A:$C,3,FALSE),0)+IFERROR(G273*VLOOKUP("b28",Precios!$A:$C,3,FALSE),0),0)</f>
        <v/>
      </c>
      <c r="I273" s="7" t="n"/>
      <c r="J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>
        <f>IF(E274="Consumo",IFERROR(D274*VLOOKUP(VLOOKUP(C274,ConfigBuffet!$C:$D,2,FALSE),Precios!$A:$C,3,FALSE)*VLOOKUP(C274,ConfigBuffet!$C:$F,4,FALSE),0)+IFERROR(F274*VLOOKUP("b06",Precios!$A:$C,3,FALSE),0)+IFERROR(G274*VLOOKUP("b28",Precios!$A:$C,3,FALSE),0),0)</f>
        <v/>
      </c>
      <c r="I274" s="7" t="n"/>
      <c r="J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>
        <f>IF(E275="Consumo",IFERROR(D275*VLOOKUP(VLOOKUP(C275,ConfigBuffet!$C:$D,2,FALSE),Precios!$A:$C,3,FALSE)*VLOOKUP(C275,ConfigBuffet!$C:$F,4,FALSE),0)+IFERROR(F275*VLOOKUP("b06",Precios!$A:$C,3,FALSE),0)+IFERROR(G275*VLOOKUP("b28",Precios!$A:$C,3,FALSE),0),0)</f>
        <v/>
      </c>
      <c r="I275" s="7" t="n"/>
      <c r="J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>
        <f>IF(E276="Consumo",IFERROR(D276*VLOOKUP(VLOOKUP(C276,ConfigBuffet!$C:$D,2,FALSE),Precios!$A:$C,3,FALSE)*VLOOKUP(C276,ConfigBuffet!$C:$F,4,FALSE),0)+IFERROR(F276*VLOOKUP("b06",Precios!$A:$C,3,FALSE),0)+IFERROR(G276*VLOOKUP("b28",Precios!$A:$C,3,FALSE),0),0)</f>
        <v/>
      </c>
      <c r="I276" s="7" t="n"/>
      <c r="J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>
        <f>IF(E277="Consumo",IFERROR(D277*VLOOKUP(VLOOKUP(C277,ConfigBuffet!$C:$D,2,FALSE),Precios!$A:$C,3,FALSE)*VLOOKUP(C277,ConfigBuffet!$C:$F,4,FALSE),0)+IFERROR(F277*VLOOKUP("b06",Precios!$A:$C,3,FALSE),0)+IFERROR(G277*VLOOKUP("b28",Precios!$A:$C,3,FALSE),0),0)</f>
        <v/>
      </c>
      <c r="I277" s="7" t="n"/>
      <c r="J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>
        <f>IF(E278="Consumo",IFERROR(D278*VLOOKUP(VLOOKUP(C278,ConfigBuffet!$C:$D,2,FALSE),Precios!$A:$C,3,FALSE)*VLOOKUP(C278,ConfigBuffet!$C:$F,4,FALSE),0)+IFERROR(F278*VLOOKUP("b06",Precios!$A:$C,3,FALSE),0)+IFERROR(G278*VLOOKUP("b28",Precios!$A:$C,3,FALSE),0),0)</f>
        <v/>
      </c>
      <c r="I278" s="7" t="n"/>
      <c r="J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>
        <f>IF(E279="Consumo",IFERROR(D279*VLOOKUP(VLOOKUP(C279,ConfigBuffet!$C:$D,2,FALSE),Precios!$A:$C,3,FALSE)*VLOOKUP(C279,ConfigBuffet!$C:$F,4,FALSE),0)+IFERROR(F279*VLOOKUP("b06",Precios!$A:$C,3,FALSE),0)+IFERROR(G279*VLOOKUP("b28",Precios!$A:$C,3,FALSE),0),0)</f>
        <v/>
      </c>
      <c r="I279" s="7" t="n"/>
      <c r="J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>
        <f>IF(E280="Consumo",IFERROR(D280*VLOOKUP(VLOOKUP(C280,ConfigBuffet!$C:$D,2,FALSE),Precios!$A:$C,3,FALSE)*VLOOKUP(C280,ConfigBuffet!$C:$F,4,FALSE),0)+IFERROR(F280*VLOOKUP("b06",Precios!$A:$C,3,FALSE),0)+IFERROR(G280*VLOOKUP("b28",Precios!$A:$C,3,FALSE),0),0)</f>
        <v/>
      </c>
      <c r="I280" s="7" t="n"/>
      <c r="J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>
        <f>IF(E281="Consumo",IFERROR(D281*VLOOKUP(VLOOKUP(C281,ConfigBuffet!$C:$D,2,FALSE),Precios!$A:$C,3,FALSE)*VLOOKUP(C281,ConfigBuffet!$C:$F,4,FALSE),0)+IFERROR(F281*VLOOKUP("b06",Precios!$A:$C,3,FALSE),0)+IFERROR(G281*VLOOKUP("b28",Precios!$A:$C,3,FALSE),0),0)</f>
        <v/>
      </c>
      <c r="I281" s="7" t="n"/>
      <c r="J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>
        <f>IF(E282="Consumo",IFERROR(D282*VLOOKUP(VLOOKUP(C282,ConfigBuffet!$C:$D,2,FALSE),Precios!$A:$C,3,FALSE)*VLOOKUP(C282,ConfigBuffet!$C:$F,4,FALSE),0)+IFERROR(F282*VLOOKUP("b06",Precios!$A:$C,3,FALSE),0)+IFERROR(G282*VLOOKUP("b28",Precios!$A:$C,3,FALSE),0),0)</f>
        <v/>
      </c>
      <c r="I282" s="7" t="n"/>
      <c r="J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>
        <f>IF(E283="Consumo",IFERROR(D283*VLOOKUP(VLOOKUP(C283,ConfigBuffet!$C:$D,2,FALSE),Precios!$A:$C,3,FALSE)*VLOOKUP(C283,ConfigBuffet!$C:$F,4,FALSE),0)+IFERROR(F283*VLOOKUP("b06",Precios!$A:$C,3,FALSE),0)+IFERROR(G283*VLOOKUP("b28",Precios!$A:$C,3,FALSE),0),0)</f>
        <v/>
      </c>
      <c r="I283" s="7" t="n"/>
      <c r="J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>
        <f>IF(E284="Consumo",IFERROR(D284*VLOOKUP(VLOOKUP(C284,ConfigBuffet!$C:$D,2,FALSE),Precios!$A:$C,3,FALSE)*VLOOKUP(C284,ConfigBuffet!$C:$F,4,FALSE),0)+IFERROR(F284*VLOOKUP("b06",Precios!$A:$C,3,FALSE),0)+IFERROR(G284*VLOOKUP("b28",Precios!$A:$C,3,FALSE),0),0)</f>
        <v/>
      </c>
      <c r="I284" s="7" t="n"/>
      <c r="J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>
        <f>IF(E285="Consumo",IFERROR(D285*VLOOKUP(VLOOKUP(C285,ConfigBuffet!$C:$D,2,FALSE),Precios!$A:$C,3,FALSE)*VLOOKUP(C285,ConfigBuffet!$C:$F,4,FALSE),0)+IFERROR(F285*VLOOKUP("b06",Precios!$A:$C,3,FALSE),0)+IFERROR(G285*VLOOKUP("b28",Precios!$A:$C,3,FALSE),0),0)</f>
        <v/>
      </c>
      <c r="I285" s="7" t="n"/>
      <c r="J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>
        <f>IF(E286="Consumo",IFERROR(D286*VLOOKUP(VLOOKUP(C286,ConfigBuffet!$C:$D,2,FALSE),Precios!$A:$C,3,FALSE)*VLOOKUP(C286,ConfigBuffet!$C:$F,4,FALSE),0)+IFERROR(F286*VLOOKUP("b06",Precios!$A:$C,3,FALSE),0)+IFERROR(G286*VLOOKUP("b28",Precios!$A:$C,3,FALSE),0),0)</f>
        <v/>
      </c>
      <c r="I286" s="7" t="n"/>
      <c r="J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>
        <f>IF(E287="Consumo",IFERROR(D287*VLOOKUP(VLOOKUP(C287,ConfigBuffet!$C:$D,2,FALSE),Precios!$A:$C,3,FALSE)*VLOOKUP(C287,ConfigBuffet!$C:$F,4,FALSE),0)+IFERROR(F287*VLOOKUP("b06",Precios!$A:$C,3,FALSE),0)+IFERROR(G287*VLOOKUP("b28",Precios!$A:$C,3,FALSE),0),0)</f>
        <v/>
      </c>
      <c r="I287" s="7" t="n"/>
      <c r="J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>
        <f>IF(E288="Consumo",IFERROR(D288*VLOOKUP(VLOOKUP(C288,ConfigBuffet!$C:$D,2,FALSE),Precios!$A:$C,3,FALSE)*VLOOKUP(C288,ConfigBuffet!$C:$F,4,FALSE),0)+IFERROR(F288*VLOOKUP("b06",Precios!$A:$C,3,FALSE),0)+IFERROR(G288*VLOOKUP("b28",Precios!$A:$C,3,FALSE),0),0)</f>
        <v/>
      </c>
      <c r="I288" s="7" t="n"/>
      <c r="J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>
        <f>IF(E289="Consumo",IFERROR(D289*VLOOKUP(VLOOKUP(C289,ConfigBuffet!$C:$D,2,FALSE),Precios!$A:$C,3,FALSE)*VLOOKUP(C289,ConfigBuffet!$C:$F,4,FALSE),0)+IFERROR(F289*VLOOKUP("b06",Precios!$A:$C,3,FALSE),0)+IFERROR(G289*VLOOKUP("b28",Precios!$A:$C,3,FALSE),0),0)</f>
        <v/>
      </c>
      <c r="I289" s="7" t="n"/>
      <c r="J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>
        <f>IF(E290="Consumo",IFERROR(D290*VLOOKUP(VLOOKUP(C290,ConfigBuffet!$C:$D,2,FALSE),Precios!$A:$C,3,FALSE)*VLOOKUP(C290,ConfigBuffet!$C:$F,4,FALSE),0)+IFERROR(F290*VLOOKUP("b06",Precios!$A:$C,3,FALSE),0)+IFERROR(G290*VLOOKUP("b28",Precios!$A:$C,3,FALSE),0),0)</f>
        <v/>
      </c>
      <c r="I290" s="7" t="n"/>
      <c r="J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>
        <f>IF(E291="Consumo",IFERROR(D291*VLOOKUP(VLOOKUP(C291,ConfigBuffet!$C:$D,2,FALSE),Precios!$A:$C,3,FALSE)*VLOOKUP(C291,ConfigBuffet!$C:$F,4,FALSE),0)+IFERROR(F291*VLOOKUP("b06",Precios!$A:$C,3,FALSE),0)+IFERROR(G291*VLOOKUP("b28",Precios!$A:$C,3,FALSE),0),0)</f>
        <v/>
      </c>
      <c r="I291" s="7" t="n"/>
      <c r="J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>
        <f>IF(E292="Consumo",IFERROR(D292*VLOOKUP(VLOOKUP(C292,ConfigBuffet!$C:$D,2,FALSE),Precios!$A:$C,3,FALSE)*VLOOKUP(C292,ConfigBuffet!$C:$F,4,FALSE),0)+IFERROR(F292*VLOOKUP("b06",Precios!$A:$C,3,FALSE),0)+IFERROR(G292*VLOOKUP("b28",Precios!$A:$C,3,FALSE),0),0)</f>
        <v/>
      </c>
      <c r="I292" s="7" t="n"/>
      <c r="J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>
        <f>IF(E293="Consumo",IFERROR(D293*VLOOKUP(VLOOKUP(C293,ConfigBuffet!$C:$D,2,FALSE),Precios!$A:$C,3,FALSE)*VLOOKUP(C293,ConfigBuffet!$C:$F,4,FALSE),0)+IFERROR(F293*VLOOKUP("b06",Precios!$A:$C,3,FALSE),0)+IFERROR(G293*VLOOKUP("b28",Precios!$A:$C,3,FALSE),0),0)</f>
        <v/>
      </c>
      <c r="I293" s="7" t="n"/>
      <c r="J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>
        <f>IF(E294="Consumo",IFERROR(D294*VLOOKUP(VLOOKUP(C294,ConfigBuffet!$C:$D,2,FALSE),Precios!$A:$C,3,FALSE)*VLOOKUP(C294,ConfigBuffet!$C:$F,4,FALSE),0)+IFERROR(F294*VLOOKUP("b06",Precios!$A:$C,3,FALSE),0)+IFERROR(G294*VLOOKUP("b28",Precios!$A:$C,3,FALSE),0),0)</f>
        <v/>
      </c>
      <c r="I294" s="7" t="n"/>
      <c r="J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>
        <f>IF(E295="Consumo",IFERROR(D295*VLOOKUP(VLOOKUP(C295,ConfigBuffet!$C:$D,2,FALSE),Precios!$A:$C,3,FALSE)*VLOOKUP(C295,ConfigBuffet!$C:$F,4,FALSE),0)+IFERROR(F295*VLOOKUP("b06",Precios!$A:$C,3,FALSE),0)+IFERROR(G295*VLOOKUP("b28",Precios!$A:$C,3,FALSE),0),0)</f>
        <v/>
      </c>
      <c r="I295" s="7" t="n"/>
      <c r="J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>
        <f>IF(E296="Consumo",IFERROR(D296*VLOOKUP(VLOOKUP(C296,ConfigBuffet!$C:$D,2,FALSE),Precios!$A:$C,3,FALSE)*VLOOKUP(C296,ConfigBuffet!$C:$F,4,FALSE),0)+IFERROR(F296*VLOOKUP("b06",Precios!$A:$C,3,FALSE),0)+IFERROR(G296*VLOOKUP("b28",Precios!$A:$C,3,FALSE),0),0)</f>
        <v/>
      </c>
      <c r="I296" s="7" t="n"/>
      <c r="J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>
        <f>IF(E297="Consumo",IFERROR(D297*VLOOKUP(VLOOKUP(C297,ConfigBuffet!$C:$D,2,FALSE),Precios!$A:$C,3,FALSE)*VLOOKUP(C297,ConfigBuffet!$C:$F,4,FALSE),0)+IFERROR(F297*VLOOKUP("b06",Precios!$A:$C,3,FALSE),0)+IFERROR(G297*VLOOKUP("b28",Precios!$A:$C,3,FALSE),0),0)</f>
        <v/>
      </c>
      <c r="I297" s="7" t="n"/>
      <c r="J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>
        <f>IF(E298="Consumo",IFERROR(D298*VLOOKUP(VLOOKUP(C298,ConfigBuffet!$C:$D,2,FALSE),Precios!$A:$C,3,FALSE)*VLOOKUP(C298,ConfigBuffet!$C:$F,4,FALSE),0)+IFERROR(F298*VLOOKUP("b06",Precios!$A:$C,3,FALSE),0)+IFERROR(G298*VLOOKUP("b28",Precios!$A:$C,3,FALSE),0),0)</f>
        <v/>
      </c>
      <c r="I298" s="7" t="n"/>
      <c r="J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>
        <f>IF(E299="Consumo",IFERROR(D299*VLOOKUP(VLOOKUP(C299,ConfigBuffet!$C:$D,2,FALSE),Precios!$A:$C,3,FALSE)*VLOOKUP(C299,ConfigBuffet!$C:$F,4,FALSE),0)+IFERROR(F299*VLOOKUP("b06",Precios!$A:$C,3,FALSE),0)+IFERROR(G299*VLOOKUP("b28",Precios!$A:$C,3,FALSE),0),0)</f>
        <v/>
      </c>
      <c r="I299" s="7" t="n"/>
      <c r="J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>
        <f>IF(E300="Consumo",IFERROR(D300*VLOOKUP(VLOOKUP(C300,ConfigBuffet!$C:$D,2,FALSE),Precios!$A:$C,3,FALSE)*VLOOKUP(C300,ConfigBuffet!$C:$F,4,FALSE),0)+IFERROR(F300*VLOOKUP("b06",Precios!$A:$C,3,FALSE),0)+IFERROR(G300*VLOOKUP("b28",Precios!$A:$C,3,FALSE),0),0)</f>
        <v/>
      </c>
      <c r="I300" s="7" t="n"/>
      <c r="J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>
        <f>IF(E301="Consumo",IFERROR(D301*VLOOKUP(VLOOKUP(C301,ConfigBuffet!$C:$D,2,FALSE),Precios!$A:$C,3,FALSE)*VLOOKUP(C301,ConfigBuffet!$C:$F,4,FALSE),0)+IFERROR(F301*VLOOKUP("b06",Precios!$A:$C,3,FALSE),0)+IFERROR(G301*VLOOKUP("b28",Precios!$A:$C,3,FALSE),0),0)</f>
        <v/>
      </c>
      <c r="I301" s="7" t="n"/>
      <c r="J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>
        <f>IF(E302="Consumo",IFERROR(D302*VLOOKUP(VLOOKUP(C302,ConfigBuffet!$C:$D,2,FALSE),Precios!$A:$C,3,FALSE)*VLOOKUP(C302,ConfigBuffet!$C:$F,4,FALSE),0)+IFERROR(F302*VLOOKUP("b06",Precios!$A:$C,3,FALSE),0)+IFERROR(G302*VLOOKUP("b28",Precios!$A:$C,3,FALSE),0),0)</f>
        <v/>
      </c>
      <c r="I302" s="7" t="n"/>
      <c r="J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>
        <f>IF(E303="Consumo",IFERROR(D303*VLOOKUP(VLOOKUP(C303,ConfigBuffet!$C:$D,2,FALSE),Precios!$A:$C,3,FALSE)*VLOOKUP(C303,ConfigBuffet!$C:$F,4,FALSE),0)+IFERROR(F303*VLOOKUP("b06",Precios!$A:$C,3,FALSE),0)+IFERROR(G303*VLOOKUP("b28",Precios!$A:$C,3,FALSE),0),0)</f>
        <v/>
      </c>
      <c r="I303" s="7" t="n"/>
      <c r="J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>
        <f>IF(E304="Consumo",IFERROR(D304*VLOOKUP(VLOOKUP(C304,ConfigBuffet!$C:$D,2,FALSE),Precios!$A:$C,3,FALSE)*VLOOKUP(C304,ConfigBuffet!$C:$F,4,FALSE),0)+IFERROR(F304*VLOOKUP("b06",Precios!$A:$C,3,FALSE),0)+IFERROR(G304*VLOOKUP("b28",Precios!$A:$C,3,FALSE),0),0)</f>
        <v/>
      </c>
      <c r="I304" s="7" t="n"/>
      <c r="J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>
        <f>IF(E305="Consumo",IFERROR(D305*VLOOKUP(VLOOKUP(C305,ConfigBuffet!$C:$D,2,FALSE),Precios!$A:$C,3,FALSE)*VLOOKUP(C305,ConfigBuffet!$C:$F,4,FALSE),0)+IFERROR(F305*VLOOKUP("b06",Precios!$A:$C,3,FALSE),0)+IFERROR(G305*VLOOKUP("b28",Precios!$A:$C,3,FALSE),0),0)</f>
        <v/>
      </c>
      <c r="I305" s="7" t="n"/>
      <c r="J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>
        <f>IF(E306="Consumo",IFERROR(D306*VLOOKUP(VLOOKUP(C306,ConfigBuffet!$C:$D,2,FALSE),Precios!$A:$C,3,FALSE)*VLOOKUP(C306,ConfigBuffet!$C:$F,4,FALSE),0)+IFERROR(F306*VLOOKUP("b06",Precios!$A:$C,3,FALSE),0)+IFERROR(G306*VLOOKUP("b28",Precios!$A:$C,3,FALSE),0),0)</f>
        <v/>
      </c>
      <c r="I306" s="7" t="n"/>
      <c r="J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>
        <f>IF(E307="Consumo",IFERROR(D307*VLOOKUP(VLOOKUP(C307,ConfigBuffet!$C:$D,2,FALSE),Precios!$A:$C,3,FALSE)*VLOOKUP(C307,ConfigBuffet!$C:$F,4,FALSE),0)+IFERROR(F307*VLOOKUP("b06",Precios!$A:$C,3,FALSE),0)+IFERROR(G307*VLOOKUP("b28",Precios!$A:$C,3,FALSE),0),0)</f>
        <v/>
      </c>
      <c r="I307" s="7" t="n"/>
      <c r="J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>
        <f>IF(E308="Consumo",IFERROR(D308*VLOOKUP(VLOOKUP(C308,ConfigBuffet!$C:$D,2,FALSE),Precios!$A:$C,3,FALSE)*VLOOKUP(C308,ConfigBuffet!$C:$F,4,FALSE),0)+IFERROR(F308*VLOOKUP("b06",Precios!$A:$C,3,FALSE),0)+IFERROR(G308*VLOOKUP("b28",Precios!$A:$C,3,FALSE),0),0)</f>
        <v/>
      </c>
      <c r="I308" s="7" t="n"/>
      <c r="J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>
        <f>IF(E309="Consumo",IFERROR(D309*VLOOKUP(VLOOKUP(C309,ConfigBuffet!$C:$D,2,FALSE),Precios!$A:$C,3,FALSE)*VLOOKUP(C309,ConfigBuffet!$C:$F,4,FALSE),0)+IFERROR(F309*VLOOKUP("b06",Precios!$A:$C,3,FALSE),0)+IFERROR(G309*VLOOKUP("b28",Precios!$A:$C,3,FALSE),0),0)</f>
        <v/>
      </c>
      <c r="I309" s="7" t="n"/>
      <c r="J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>
        <f>IF(E310="Consumo",IFERROR(D310*VLOOKUP(VLOOKUP(C310,ConfigBuffet!$C:$D,2,FALSE),Precios!$A:$C,3,FALSE)*VLOOKUP(C310,ConfigBuffet!$C:$F,4,FALSE),0)+IFERROR(F310*VLOOKUP("b06",Precios!$A:$C,3,FALSE),0)+IFERROR(G310*VLOOKUP("b28",Precios!$A:$C,3,FALSE),0),0)</f>
        <v/>
      </c>
      <c r="I310" s="7" t="n"/>
      <c r="J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>
        <f>IF(E311="Consumo",IFERROR(D311*VLOOKUP(VLOOKUP(C311,ConfigBuffet!$C:$D,2,FALSE),Precios!$A:$C,3,FALSE)*VLOOKUP(C311,ConfigBuffet!$C:$F,4,FALSE),0)+IFERROR(F311*VLOOKUP("b06",Precios!$A:$C,3,FALSE),0)+IFERROR(G311*VLOOKUP("b28",Precios!$A:$C,3,FALSE),0),0)</f>
        <v/>
      </c>
      <c r="I311" s="7" t="n"/>
      <c r="J311" s="7" t="n"/>
    </row>
    <row r="313">
      <c r="G313" s="13" t="inlineStr">
        <is>
          <t>TOTAL</t>
        </is>
      </c>
      <c r="H313" s="13">
        <f>SUM(H2:H312)</f>
        <v/>
      </c>
    </row>
  </sheetData>
  <dataValidations count="2">
    <dataValidation sqref="E2:E500" showDropDown="0" showInputMessage="0" showErrorMessage="0" allowBlank="1" type="list">
      <formula1>"Consumo,Merma,Expiración,Limpieza"</formula1>
    </dataValidation>
    <dataValidation sqref="C2:C500" showDropDown="0" showInputMessage="0" showErrorMessage="0" allowBlank="1" type="list">
      <formula1>ConfigBuffet!$C$2:$C$41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Catalogo!$G$2:$G$103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Catalogo!$H$2:$H$77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Catalogo!$I$2:$I$25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2026-08-28T12:27:06Z</dcterms:created>
  <dcterms:modified xmlns:dcterms="http://purl.org/dc/terms/" xmlns:xsi="http://www.w3.org/2001/XMLSchema-instance" xsi:type="dcterms:W3CDTF">2026-08-28T12:27:07Z</dcterms:modified>
</cp:coreProperties>
</file>